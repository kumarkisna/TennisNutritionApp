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 nutritional requiremen" sheetId="1" r:id="rId5"/>
    <sheet state="visible" name="Baseline Nutrition Checker" sheetId="2" r:id="rId6"/>
    <sheet state="visible" name="Rudransh Diet" sheetId="3" r:id="rId7"/>
    <sheet state="visible" name="Rudransh Protein Foods" sheetId="4" r:id="rId8"/>
    <sheet state="visible" name="Food profiles" sheetId="5" r:id="rId9"/>
    <sheet state="visible" name="Rashmi Diet" sheetId="6" r:id="rId10"/>
    <sheet state="visible" name="Krishan Diet" sheetId="7" r:id="rId11"/>
    <sheet state="visible" name="Nutrition Master" sheetId="8" r:id="rId12"/>
    <sheet state="visible" name="Profiling" sheetId="9" r:id="rId13"/>
  </sheets>
  <definedNames/>
  <calcPr/>
</workbook>
</file>

<file path=xl/sharedStrings.xml><?xml version="1.0" encoding="utf-8"?>
<sst xmlns="http://schemas.openxmlformats.org/spreadsheetml/2006/main" count="771" uniqueCount="273">
  <si>
    <t>Food Group</t>
  </si>
  <si>
    <t>Minimum Serve Each Day</t>
  </si>
  <si>
    <t>Example of a serving size</t>
  </si>
  <si>
    <t>Good Source Of:</t>
  </si>
  <si>
    <t>Breads and cereals</t>
  </si>
  <si>
    <t>Food Eaten</t>
  </si>
  <si>
    <t>Total Serves</t>
  </si>
  <si>
    <r>
      <rPr>
        <rFont val="Arial"/>
        <color theme="1"/>
      </rPr>
      <t xml:space="preserve">eat at least </t>
    </r>
    <r>
      <rPr>
        <rFont val="Arial"/>
        <b/>
        <color theme="1"/>
      </rPr>
      <t>6</t>
    </r>
    <r>
      <rPr>
        <rFont val="Arial"/>
        <color theme="1"/>
      </rPr>
      <t xml:space="preserve"> servings</t>
    </r>
  </si>
  <si>
    <t>1 roll  
1 muffin 
1 medium slice bread  
1 cup corn flakes or other breakfast cereal 
2 weet bix 
1/2 cup museli 
1/2 cup porridge 
1 cup cooked rice or pasta 
2 plain sweet biscuits</t>
  </si>
  <si>
    <t xml:space="preserve">carbohydrate   
fibre 
B vitamins ( except B12 )
vitamin E 
calcium 
iron
zinc
</t>
  </si>
  <si>
    <t xml:space="preserve">ONLY POSITIVITY STAYS AND THE OUTCOMES REPEAT THEMSELVES </t>
  </si>
  <si>
    <r>
      <rPr>
        <rFont val="Arial"/>
        <color theme="1"/>
      </rPr>
      <t xml:space="preserve">eat at least </t>
    </r>
    <r>
      <rPr>
        <rFont val="Arial"/>
        <b/>
        <color theme="1"/>
      </rPr>
      <t>6</t>
    </r>
    <r>
      <rPr>
        <rFont val="Arial"/>
        <color theme="1"/>
      </rPr>
      <t xml:space="preserve"> servings</t>
    </r>
  </si>
  <si>
    <t>Fruit and vegetables</t>
  </si>
  <si>
    <r>
      <rPr>
        <rFont val="Arial"/>
        <color theme="1"/>
      </rPr>
      <t xml:space="preserve">eat at least </t>
    </r>
    <r>
      <rPr>
        <rFont val="Arial"/>
        <b/>
        <color theme="1"/>
      </rPr>
      <t>2</t>
    </r>
    <r>
      <rPr>
        <rFont val="Arial"/>
        <color theme="1"/>
      </rPr>
      <t xml:space="preserve"> servings of fruit and </t>
    </r>
    <r>
      <rPr>
        <rFont val="Arial"/>
        <b/>
        <color theme="1"/>
      </rPr>
      <t>3</t>
    </r>
    <r>
      <rPr>
        <rFont val="Arial"/>
        <color theme="1"/>
      </rPr>
      <t xml:space="preserve"> servings of vegetables</t>
    </r>
  </si>
  <si>
    <t>1 medium fruit e.g. apple,orange,pear,peach, banana   
2 small fruit e.g. plums  
1 cup fruit juice 
1/4 cup dired fruit e.g. raisins , apricots  
1/2 cup raw cooked or canned fruits or veges 
1 medium cooked taro , potato or kumara</t>
  </si>
  <si>
    <t>carbohydrate  
fibre 
vitamin A 
vitamin C ( dried fruit are not as good a source of vitamin C as raw fruit ) 
folate 
magnesium 
potassium</t>
  </si>
  <si>
    <t>Milk, milk products and milk substitutes</t>
  </si>
  <si>
    <r>
      <rPr>
        <rFont val="Arial"/>
        <color theme="1"/>
      </rPr>
      <t xml:space="preserve">have at least </t>
    </r>
    <r>
      <rPr>
        <rFont val="Arial"/>
        <b/>
        <color theme="1"/>
      </rPr>
      <t>2</t>
    </r>
    <r>
      <rPr>
        <rFont val="Arial"/>
        <color theme="1"/>
      </rPr>
      <t xml:space="preserve"> servings</t>
    </r>
  </si>
  <si>
    <t>1 glass ( 250 ml ) milk 
1 pottle youghurt  
2 slices cheese 
2 scoops ice cream  
3 table spoons cotage cheese  
1 glass ( 250 ml ) soy milk  ( calcium fortified )</t>
  </si>
  <si>
    <t>protein  
calcium  
carbohydrate ( milk and yoghurt )  
fat ( saturated ) 
vitamins , especially B2 and B12  other minerals</t>
  </si>
  <si>
    <t>Lean meats, poultry, fish, eggs , nuts, pulses</t>
  </si>
  <si>
    <r>
      <rPr>
        <rFont val="Arial"/>
        <color theme="1"/>
      </rPr>
      <t xml:space="preserve">eat at least </t>
    </r>
    <r>
      <rPr>
        <rFont val="Arial"/>
        <b/>
        <color theme="1"/>
      </rPr>
      <t>1</t>
    </r>
    <r>
      <rPr>
        <rFont val="Arial"/>
        <color theme="1"/>
      </rPr>
      <t xml:space="preserve"> serve</t>
    </r>
  </si>
  <si>
    <t>2 slices cooked meat  
3/4 cup mice or cassarole  
1 medium steak 
2 drumsticks or 1 chicken leg 
1 medium fillet fish 
1 egg 1/3 cup nuts or seeds  
3/4 cup cooked dried beans  
1/2 cup tofu</t>
  </si>
  <si>
    <t>protein 
iron
fats ( saturated ) 
carbohydrate ( dried beans/peas)  
vitamins B1, B12, niacin  
minerals - zinc , magnesium , copper ,potassium, selenium</t>
  </si>
  <si>
    <t>Fluids</t>
  </si>
  <si>
    <t>Serving Unit in Grams</t>
  </si>
  <si>
    <r>
      <rPr>
        <rFont val="Arial"/>
        <color theme="1"/>
      </rPr>
      <t xml:space="preserve">drink at least </t>
    </r>
    <r>
      <rPr>
        <rFont val="Arial"/>
        <b/>
        <color theme="1"/>
      </rPr>
      <t>8</t>
    </r>
    <r>
      <rPr>
        <rFont val="Arial"/>
        <color theme="1"/>
      </rPr>
      <t xml:space="preserve"> cups</t>
    </r>
  </si>
  <si>
    <t>water or other fluids</t>
  </si>
  <si>
    <r>
      <rPr>
        <rFont val="Arial"/>
        <color theme="1"/>
      </rPr>
      <t xml:space="preserve">eat at least </t>
    </r>
    <r>
      <rPr>
        <rFont val="Arial"/>
        <b/>
        <color theme="1"/>
      </rPr>
      <t>2</t>
    </r>
    <r>
      <rPr>
        <rFont val="Arial"/>
        <color theme="1"/>
      </rPr>
      <t xml:space="preserve"> servings of fruit and </t>
    </r>
    <r>
      <rPr>
        <rFont val="Arial"/>
        <b/>
        <color theme="1"/>
      </rPr>
      <t>3</t>
    </r>
    <r>
      <rPr>
        <rFont val="Arial"/>
        <color theme="1"/>
      </rPr>
      <t xml:space="preserve"> servings of vegetables</t>
    </r>
  </si>
  <si>
    <r>
      <rPr>
        <rFont val="Arial"/>
        <color theme="1"/>
      </rPr>
      <t xml:space="preserve">have at least </t>
    </r>
    <r>
      <rPr>
        <rFont val="Arial"/>
        <b/>
        <color theme="1"/>
      </rPr>
      <t>2</t>
    </r>
    <r>
      <rPr>
        <rFont val="Arial"/>
        <color theme="1"/>
      </rPr>
      <t xml:space="preserve"> servings</t>
    </r>
  </si>
  <si>
    <t>Ideal Protein Per Day</t>
  </si>
  <si>
    <r>
      <rPr>
        <rFont val="Arial"/>
        <color theme="1"/>
      </rPr>
      <t xml:space="preserve">eat at least </t>
    </r>
    <r>
      <rPr>
        <rFont val="Arial"/>
        <b/>
        <color theme="1"/>
      </rPr>
      <t>1</t>
    </r>
    <r>
      <rPr>
        <rFont val="Arial"/>
        <color theme="1"/>
      </rPr>
      <t xml:space="preserve"> serve</t>
    </r>
  </si>
  <si>
    <t>I can eat per day</t>
  </si>
  <si>
    <t>Weight(kg)=</t>
  </si>
  <si>
    <r>
      <rPr>
        <rFont val="Arial"/>
        <color theme="1"/>
      </rPr>
      <t xml:space="preserve">drink at least </t>
    </r>
    <r>
      <rPr>
        <rFont val="Arial"/>
        <b/>
        <color theme="1"/>
      </rPr>
      <t>8</t>
    </r>
    <r>
      <rPr>
        <rFont val="Arial"/>
        <color theme="1"/>
      </rPr>
      <t xml:space="preserve"> cups</t>
    </r>
  </si>
  <si>
    <t>Age(years)=</t>
  </si>
  <si>
    <t>Activity Type</t>
  </si>
  <si>
    <t>Duration (minutes)</t>
  </si>
  <si>
    <t>Carbohydrate Needs(grams)</t>
  </si>
  <si>
    <t>Protein Needs(grams)</t>
  </si>
  <si>
    <t>Calcium Needs(mg/day)</t>
  </si>
  <si>
    <t>Fat Needs(g/day)</t>
  </si>
  <si>
    <t>Iron Needs(mg/day)</t>
  </si>
  <si>
    <t>School + Training</t>
  </si>
  <si>
    <t>Running</t>
  </si>
  <si>
    <t>Tennis</t>
  </si>
  <si>
    <t>60-120</t>
  </si>
  <si>
    <t>Protien Food</t>
  </si>
  <si>
    <t>Total:</t>
  </si>
  <si>
    <t>Protein Per 100 Grams</t>
  </si>
  <si>
    <t>Quantity To Get 142 Grams</t>
  </si>
  <si>
    <t>Serving Size ( Grams )</t>
  </si>
  <si>
    <t>I Eat In Grams</t>
  </si>
  <si>
    <t>Protein I Take</t>
  </si>
  <si>
    <t>Serving I Ate</t>
  </si>
  <si>
    <t>Protein I Ate</t>
  </si>
  <si>
    <t>School Only</t>
  </si>
  <si>
    <t>Milk</t>
  </si>
  <si>
    <t>MILK</t>
  </si>
  <si>
    <t>Note : Review the nutrition requirement by following Nutrition Master every year or 7 days before tournament day</t>
  </si>
  <si>
    <t>Yoghurt</t>
  </si>
  <si>
    <t>Cheese</t>
  </si>
  <si>
    <t>Paneer</t>
  </si>
  <si>
    <t>21/7/2026</t>
  </si>
  <si>
    <t>Amount per 100 ml</t>
  </si>
  <si>
    <t>Office + Training</t>
  </si>
  <si>
    <t>Office Work</t>
  </si>
  <si>
    <t>Protein</t>
  </si>
  <si>
    <t>Energy(Kcal)</t>
  </si>
  <si>
    <t>Amount per 100 gm</t>
  </si>
  <si>
    <t>Fat</t>
  </si>
  <si>
    <t>Carbohydrate</t>
  </si>
  <si>
    <t>Goal:</t>
  </si>
  <si>
    <t>Energy (Kcal)</t>
  </si>
  <si>
    <t>Total fat (g)</t>
  </si>
  <si>
    <t>Carbohydrate (g)</t>
  </si>
  <si>
    <t>Amount left to eat:</t>
  </si>
  <si>
    <t>Protein (g)</t>
  </si>
  <si>
    <t>Rajma</t>
  </si>
  <si>
    <t>Dal</t>
  </si>
  <si>
    <t>Bread</t>
  </si>
  <si>
    <t>Paratha</t>
  </si>
  <si>
    <t>Youghurt</t>
  </si>
  <si>
    <t>Paneer Curry</t>
  </si>
  <si>
    <t>Office Only</t>
  </si>
  <si>
    <t>Protein Bar</t>
  </si>
  <si>
    <t>16/9/2026</t>
  </si>
  <si>
    <t>Muesli</t>
  </si>
  <si>
    <t>Rice</t>
  </si>
  <si>
    <t>Slices cheese</t>
  </si>
  <si>
    <t>Epigamia protein drink</t>
  </si>
  <si>
    <t>Protein Bread</t>
  </si>
  <si>
    <t>Dosa</t>
  </si>
  <si>
    <t>Egg</t>
  </si>
  <si>
    <t>Amount per egg</t>
  </si>
  <si>
    <t>Note : Review the nutrition requirement by following Nutrition Master every year</t>
  </si>
  <si>
    <t>17/9/2026</t>
  </si>
  <si>
    <t>Meeting basic nutrition needs will provide an appropriate carbohydrate intake.
You will still need to allow for pre- and post-training needs, e.g. pre- and post- training snacks.</t>
  </si>
  <si>
    <t>18/9/2026</t>
  </si>
  <si>
    <t>19/9/2026</t>
  </si>
  <si>
    <t>Razma</t>
  </si>
  <si>
    <t>21/9/2026</t>
  </si>
  <si>
    <t>22/9/2026</t>
  </si>
  <si>
    <t>23/9/2026</t>
  </si>
  <si>
    <t>24/9/2026</t>
  </si>
  <si>
    <t>25/9/2026</t>
  </si>
  <si>
    <t>26/9/2026</t>
  </si>
  <si>
    <t>27/9/2026</t>
  </si>
  <si>
    <t>Kellogs Choco</t>
  </si>
  <si>
    <t>Chapati</t>
  </si>
  <si>
    <t>Panneer Curry</t>
  </si>
  <si>
    <t>Protein bar</t>
  </si>
  <si>
    <t>Fat(grams/day)</t>
  </si>
  <si>
    <t>Age Group</t>
  </si>
  <si>
    <t>Iron mg/day</t>
  </si>
  <si>
    <t>Activity( regular trainining 4-7 days/week )</t>
  </si>
  <si>
    <t>Min Grams of carbohydrate per kg of body weight (g/kg)</t>
  </si>
  <si>
    <t>Max Grams of carbohydrate per kg of body weight (g/kg)</t>
  </si>
  <si>
    <t>Low-fat diets</t>
  </si>
  <si>
    <t>30-40</t>
  </si>
  <si>
    <t>Adolescents ( 12-18 yrs )</t>
  </si>
  <si>
    <t>Sports tha involve low intensity training ( e.g.
lawn bowls , croquet )</t>
  </si>
  <si>
    <t>Most women and children</t>
  </si>
  <si>
    <t>30-50</t>
  </si>
  <si>
    <t>Women(19-54 yrs)</t>
  </si>
  <si>
    <t>Sports that involve upto 60 minutes moderate to high intensity training daily ( e.g. golf )</t>
  </si>
  <si>
    <t>Most men</t>
  </si>
  <si>
    <t>40-60</t>
  </si>
  <si>
    <t>Pregnant women</t>
  </si>
  <si>
    <t>22-36</t>
  </si>
  <si>
    <t>Sports that involve 60-120 minutes moderate to high intensity training daily ( e.g. sprint training, rugby , soccer, hockey , netball ,short triathlons , racquet sports, cricket , martial arts, throwing sports , sailing, rowing, canoeing, strength and lifting sports)</t>
  </si>
  <si>
    <t>Teenagers and active children</t>
  </si>
  <si>
    <t>Women ( 54+ yrs )</t>
  </si>
  <si>
    <t>Endurance training: 2-5 hours of intense training per day ( e.g. distance running, cycling, swimming)</t>
  </si>
  <si>
    <t>Larger and very active athletes/workers</t>
  </si>
  <si>
    <t>80-100</t>
  </si>
  <si>
    <t>Men ( 19+ yrs )</t>
  </si>
  <si>
    <t>Extreme training: more than 5 hours of intense training per day( e.g. Ironman, multisport endurance events)</t>
  </si>
  <si>
    <t>Activity</t>
  </si>
  <si>
    <t>Min Grams of protein per kg of body weight ( g/kg)</t>
  </si>
  <si>
    <t>Max Grams</t>
  </si>
  <si>
    <t>General public and athletes taking part in low intensity training</t>
  </si>
  <si>
    <t>you will meet your protein needs by following the basic nutrition guidelines that provide about 0.8-1 g of protein per kg of body weight each day  
e.g. lawn bowls,golf,croquet</t>
  </si>
  <si>
    <t>Calcium mg/day</t>
  </si>
  <si>
    <t>Strength or power training</t>
  </si>
  <si>
    <t>a protein intake of 1.6-1.7 g/kg/day is recommended
you need an increased protein intake combined with apropriate training to enable maximal muscle development
e.g. weight training for field sports, body building</t>
  </si>
  <si>
    <t>Adolescents</t>
  </si>
  <si>
    <t>1000-1200</t>
  </si>
  <si>
    <t>Endurance training</t>
  </si>
  <si>
    <t>aim for a protein intake of 1.2-1.4 g/kg/day
you need an increased protein intake to repair muscle damage caused by excercise such as cycling,distance running</t>
  </si>
  <si>
    <t>Adults (males and females )</t>
  </si>
  <si>
    <t>800-1000</t>
  </si>
  <si>
    <t>Adolescent athletes</t>
  </si>
  <si>
    <t>aim for a protein intake of 2 g/kg/day</t>
  </si>
  <si>
    <t>Post-menopausal women</t>
  </si>
  <si>
    <t>Meusli</t>
  </si>
  <si>
    <t>Tennis Tournament</t>
  </si>
  <si>
    <t>Total Protein</t>
  </si>
  <si>
    <t>180-300</t>
  </si>
  <si>
    <t>Cricket Day</t>
  </si>
  <si>
    <t>Breakfast</t>
  </si>
  <si>
    <t>Lunch</t>
  </si>
  <si>
    <t>Dinner</t>
  </si>
  <si>
    <t>Protein goal:</t>
  </si>
  <si>
    <t>Cricket</t>
  </si>
  <si>
    <t>360-480</t>
  </si>
  <si>
    <t>Amount eaten</t>
  </si>
  <si>
    <t>Section</t>
  </si>
  <si>
    <t>Task</t>
  </si>
  <si>
    <t>Status</t>
  </si>
  <si>
    <t>Notes</t>
  </si>
  <si>
    <t>Date</t>
  </si>
  <si>
    <t>1. Physical Training</t>
  </si>
  <si>
    <t>Conduct quarterly physical literacy assessment (agility, balance, coordination)</t>
  </si>
  <si>
    <t>☐</t>
  </si>
  <si>
    <t>Adjust training load based on PHV (Peak Height Velocity) status</t>
  </si>
  <si>
    <t>Incorporate movement competency drills before heavy loading</t>
  </si>
  <si>
    <t>Monitor asymmetries in strength and flexibility during growth spurts</t>
  </si>
  <si>
    <t>Track distance covered, sprint counts, high-intensity bursts per session</t>
  </si>
  <si>
    <t>Record change of direction efficiency (e.g., 5-10-5 drill times)</t>
  </si>
  <si>
    <t>Monitor stroke/skill consistency under fatigue</t>
  </si>
  <si>
    <t>Review video analysis for tactical decision-making metrics</t>
  </si>
  <si>
    <t>Perform movement screen (e.g., FMS) to identify weak links</t>
  </si>
  <si>
    <t>Schedule 2–3 foundational strength sessions per week</t>
  </si>
  <si>
    <t>Progress to plyometrics only after adequate strength base</t>
  </si>
  <si>
    <t>Include unilateral exercises to correct imbalances</t>
  </si>
  <si>
    <t>2. Sports Psychology</t>
  </si>
  <si>
    <t>Create pre-match routine (visualization, cue words, breathing)</t>
  </si>
  <si>
    <t>Set process-oriented goals rather than outcome goals</t>
  </si>
  <si>
    <t>Practice "next ball" reset routines after mistakes</t>
  </si>
  <si>
    <t>Journal one mental win after every match or practice</t>
  </si>
  <si>
    <t>Practice box breathing or 4-7-8 breathing daily</t>
  </si>
  <si>
    <t>Simulate pressure situations in practice (tie-break scenarios)</t>
  </si>
  <si>
    <t>520 gms= total panneer in the paratha filling</t>
  </si>
  <si>
    <t>Identify personal stress triggers and write coping responses</t>
  </si>
  <si>
    <t>Schedule regular downtime with no sport-related input</t>
  </si>
  <si>
    <t>Do 10 minutes of mindfulness or focus training daily</t>
  </si>
  <si>
    <t>Use reaction-time apps or drills to sharpen processing speed</t>
  </si>
  <si>
    <t>Review tactical scenarios via video or whiteboard sessions</t>
  </si>
  <si>
    <t>Practice dual-task drills (physical drill + mental math)</t>
  </si>
  <si>
    <t>3. Nutrition</t>
  </si>
  <si>
    <t>Calculate daily protein needs (1.4–2.0 g/kg body weight)</t>
  </si>
  <si>
    <t>Time carbohydrate intake around training blocks</t>
  </si>
  <si>
    <t>Include healthy fats at 20–30% of daily calories</t>
  </si>
  <si>
    <t>Log food intake for 3 days to identify gaps</t>
  </si>
  <si>
    <t>DATA FOR TODAY</t>
  </si>
  <si>
    <t>Plan pre-match meal 3–4 hours before play</t>
  </si>
  <si>
    <t>Prepare half-time snacks (banana, energy chews, electrolyte drink)</t>
  </si>
  <si>
    <t>Schedule post-match recovery meal within 30–60 minutes</t>
  </si>
  <si>
    <t>Test all match-day foods in practice to avoid GI distress</t>
  </si>
  <si>
    <t>Pack portable protein sources (bars, powder, jerky)</t>
  </si>
  <si>
    <t>Research local grocery options at travel destinations</t>
  </si>
  <si>
    <t>DATA FOR TODAY(INDIVIDUALY)</t>
  </si>
  <si>
    <t>Bring water bottle and electrolyte tablets for flights</t>
  </si>
  <si>
    <t>Adjust meal timing for time zone changes 2–3 days before travel</t>
  </si>
  <si>
    <t>4. Supplementation</t>
  </si>
  <si>
    <t>Identify nutrient deficiencies via blood work or food log</t>
  </si>
  <si>
    <t>Consider only third-party tested supplements (NSF Certified for Sport)</t>
  </si>
  <si>
    <t>Use food-first approach before adding any supplement</t>
  </si>
  <si>
    <t>Review supplement stack with a sports dietitian</t>
  </si>
  <si>
    <t>Verify every supplement against WADA prohibited list</t>
  </si>
  <si>
    <t>Avoid proprietary blends with undisclosed ingredients</t>
  </si>
  <si>
    <t>Track side effects or performance changes</t>
  </si>
  <si>
    <t>Food</t>
  </si>
  <si>
    <t>Discontinue any supplement causing adverse reactions</t>
  </si>
  <si>
    <t>Complete approved anti-doping education course (WADA ADeL)</t>
  </si>
  <si>
    <t>Amount eaten (gms)</t>
  </si>
  <si>
    <t>Check medication status via Global DRO before taking anything</t>
  </si>
  <si>
    <t>Know therapeutic use exemption (TUE) procedures</t>
  </si>
  <si>
    <t>Keep record of all supplements and medications</t>
  </si>
  <si>
    <t>5. Biometric</t>
  </si>
  <si>
    <t>Schedule annual blood panel (CBC, ferritin, vitamin D, B12, iron)</t>
  </si>
  <si>
    <t>Review results with sports physician or dietitian</t>
  </si>
  <si>
    <t>Adjust diet or supplementation based on findings</t>
  </si>
  <si>
    <t>Repeat testing if symptoms persist or diet changes</t>
  </si>
  <si>
    <t>Check urine color daily (aim for pale yellow)</t>
  </si>
  <si>
    <t>Weigh in before and after training to estimate sweat loss</t>
  </si>
  <si>
    <t>Replace 125–150% of lost fluid within 2 hours post-exercise</t>
  </si>
  <si>
    <t>Use sweat patch or electrolyte test if heavy salt sweater</t>
  </si>
  <si>
    <t>Track resting heart rate and HRV daily</t>
  </si>
  <si>
    <t>Reduce training load if HRV drops &gt;10% for 2+ days</t>
  </si>
  <si>
    <t>Monitor sleep quality and duration via wearable or log</t>
  </si>
  <si>
    <t>Adjust intensity based on subjective wellness scores (1–10)</t>
  </si>
  <si>
    <t>6. Media</t>
  </si>
  <si>
    <t>Define 3 core values you want to represent online</t>
  </si>
  <si>
    <t>Audit current social media for consistency and professionalism</t>
  </si>
  <si>
    <t>Create content calendar (training, recovery, lifestyle)</t>
  </si>
  <si>
    <t>Set privacy settings and boundaries for direct messages</t>
  </si>
  <si>
    <t>Prepare 3 key messages for common interview questions</t>
  </si>
  <si>
    <t>Practice bridging techniques to steer away from negative topics</t>
  </si>
  <si>
    <t>Record mock interviews and review body language</t>
  </si>
  <si>
    <t>Have media handler or coach review answers before big events</t>
  </si>
  <si>
    <t>Develop crisis communication plan with your team</t>
  </si>
  <si>
    <t>Identify trusted spokesperson for sensitive issues</t>
  </si>
  <si>
    <t>Practice saying "no" to invasive or distracting requests</t>
  </si>
  <si>
    <t>Take social media breaks during high-pressure tournaments</t>
  </si>
  <si>
    <t>7. Injury Prevention</t>
  </si>
  <si>
    <t>Assess mobility in ankles, hips, and thoracic spine monthly</t>
  </si>
  <si>
    <t>Strengthen weak links (glutes, rotator cuff, core)</t>
  </si>
  <si>
    <t>Include balance and proprioception drills in warm-ups</t>
  </si>
  <si>
    <t>Address movement compensation patterns immediately</t>
  </si>
  <si>
    <t>Limit repetitive high-impact loading during growth spurts</t>
  </si>
  <si>
    <t>Monitor for pain at growth plate sites (heel, knee, elbow)</t>
  </si>
  <si>
    <t>Schedule rest weeks every 6–8 weeks of intense training</t>
  </si>
  <si>
    <t>Use ice and compression after high-volume sessions</t>
  </si>
  <si>
    <t>Aim for 8–10 hours of sleep per night</t>
  </si>
  <si>
    <t>Include 10 minutes of static stretching or foam rolling post-training</t>
  </si>
  <si>
    <t>Take contrast showers or use compression boots as needed</t>
  </si>
  <si>
    <t>Schedule at least one full rest day per week</t>
  </si>
  <si>
    <t>Amount</t>
  </si>
  <si>
    <t>Protein bread</t>
  </si>
  <si>
    <t>Protein Drink</t>
  </si>
  <si>
    <t>Dosa (plain)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</si>
</sst>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-d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b/>
      <sz val="19.0"/>
      <color theme="1"/>
      <name val="Arial"/>
      <scheme val="minor"/>
    </font>
    <font/>
    <font>
      <b/>
      <sz val="11.0"/>
      <color theme="1"/>
      <name val="Arial"/>
      <scheme val="minor"/>
    </font>
    <font>
      <color rgb="FFCC0000"/>
      <name val="Arial"/>
      <scheme val="minor"/>
    </font>
    <font>
      <b/>
      <color rgb="FFCC0000"/>
      <name val="Arial"/>
      <scheme val="minor"/>
    </font>
    <font>
      <color rgb="FF000000"/>
      <name val="Arial"/>
      <scheme val="minor"/>
    </font>
    <font>
      <b/>
      <sz val="19.0"/>
      <color theme="1"/>
      <name val="Arial"/>
    </font>
    <font>
      <b/>
      <sz val="11.0"/>
      <color theme="1"/>
      <name val="Arial"/>
    </font>
    <font>
      <u/>
      <color rgb="FF0000FF"/>
    </font>
    <font>
      <b/>
      <sz val="17.0"/>
      <color theme="1"/>
      <name val="Arial"/>
      <scheme val="minor"/>
    </font>
    <font>
      <b/>
      <sz val="20.0"/>
      <color theme="1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  <font>
      <sz val="12.0"/>
      <color rgb="FF0F1115"/>
      <name val="Arial"/>
    </font>
    <font>
      <b/>
      <sz val="23.0"/>
      <color theme="1"/>
      <name val="Arial"/>
      <scheme val="minor"/>
    </font>
    <font>
      <b/>
      <i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2" fontId="2" numFmtId="0" xfId="0" applyAlignment="1" applyFill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  <xf borderId="2" fillId="0" fontId="2" numFmtId="0" xfId="0" applyBorder="1" applyFont="1"/>
    <xf borderId="3" fillId="0" fontId="1" numFmtId="164" xfId="0" applyAlignment="1" applyBorder="1" applyFont="1" applyNumberFormat="1">
      <alignment readingOrder="0"/>
    </xf>
    <xf borderId="4" fillId="0" fontId="4" numFmtId="164" xfId="0" applyAlignment="1" applyBorder="1" applyFont="1" applyNumberFormat="1">
      <alignment horizontal="right" readingOrder="0" vertical="bottom"/>
    </xf>
    <xf borderId="4" fillId="0" fontId="1" numFmtId="164" xfId="0" applyAlignment="1" applyBorder="1" applyFont="1" applyNumberFormat="1">
      <alignment readingOrder="0"/>
    </xf>
    <xf borderId="4" fillId="0" fontId="4" numFmtId="164" xfId="0" applyAlignment="1" applyBorder="1" applyFont="1" applyNumberFormat="1">
      <alignment horizontal="right" readingOrder="0" shrinkToFit="0" vertical="bottom" wrapText="1"/>
    </xf>
    <xf borderId="5" fillId="0" fontId="4" numFmtId="164" xfId="0" applyAlignment="1" applyBorder="1" applyFont="1" applyNumberFormat="1">
      <alignment horizontal="right" readingOrder="0" shrinkToFit="0" vertical="bottom" wrapText="1"/>
    </xf>
    <xf borderId="1" fillId="0" fontId="2" numFmtId="165" xfId="0" applyBorder="1" applyFont="1" applyNumberFormat="1"/>
    <xf borderId="6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 shrinkToFit="0" wrapText="1"/>
    </xf>
    <xf borderId="0" fillId="3" fontId="5" numFmtId="0" xfId="0" applyAlignment="1" applyFill="1" applyFont="1">
      <alignment horizontal="left" readingOrder="0"/>
    </xf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bottom" wrapText="1"/>
    </xf>
    <xf borderId="1" fillId="0" fontId="1" numFmtId="0" xfId="0" applyBorder="1" applyFont="1"/>
    <xf borderId="1" fillId="0" fontId="1" numFmtId="165" xfId="0" applyBorder="1" applyFont="1" applyNumberFormat="1"/>
    <xf borderId="8" fillId="0" fontId="4" numFmtId="0" xfId="0" applyAlignment="1" applyBorder="1" applyFont="1">
      <alignment shrinkToFit="0" vertical="bottom" wrapText="1"/>
    </xf>
    <xf borderId="9" fillId="0" fontId="1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readingOrder="0"/>
    </xf>
    <xf borderId="8" fillId="0" fontId="2" numFmtId="0" xfId="0" applyBorder="1" applyFont="1"/>
    <xf borderId="10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1" fillId="0" fontId="2" numFmtId="0" xfId="0" applyBorder="1" applyFont="1"/>
    <xf borderId="0" fillId="0" fontId="6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10" fillId="0" fontId="2" numFmtId="0" xfId="0" applyBorder="1" applyFont="1"/>
    <xf borderId="13" fillId="0" fontId="7" numFmtId="0" xfId="0" applyBorder="1" applyFont="1"/>
    <xf borderId="10" fillId="0" fontId="1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8" fillId="0" fontId="8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/>
    </xf>
    <xf borderId="10" fillId="0" fontId="9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0" fillId="0" fontId="9" numFmtId="0" xfId="0" applyFont="1"/>
    <xf borderId="12" fillId="0" fontId="10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15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10" fillId="0" fontId="11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11" numFmtId="0" xfId="0" applyFont="1"/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0" fillId="0" fontId="4" numFmtId="0" xfId="0" applyAlignment="1" applyBorder="1" applyFont="1">
      <alignment vertical="bottom"/>
    </xf>
    <xf borderId="12" fillId="0" fontId="11" numFmtId="0" xfId="0" applyAlignment="1" applyBorder="1" applyFont="1">
      <alignment readingOrder="0"/>
    </xf>
    <xf borderId="14" fillId="0" fontId="3" numFmtId="0" xfId="0" applyAlignment="1" applyBorder="1" applyFont="1">
      <alignment horizontal="right" vertical="bottom"/>
    </xf>
    <xf borderId="15" fillId="0" fontId="11" numFmtId="0" xfId="0" applyAlignment="1" applyBorder="1" applyFont="1">
      <alignment readingOrder="0"/>
    </xf>
    <xf borderId="16" fillId="0" fontId="3" numFmtId="0" xfId="0" applyAlignment="1" applyBorder="1" applyFont="1">
      <alignment horizontal="right" vertical="bottom"/>
    </xf>
    <xf borderId="17" fillId="0" fontId="3" numFmtId="0" xfId="0" applyAlignment="1" applyBorder="1" applyFont="1">
      <alignment horizontal="right" vertical="bottom"/>
    </xf>
    <xf borderId="18" fillId="0" fontId="13" numFmtId="0" xfId="0" applyAlignment="1" applyBorder="1" applyFont="1">
      <alignment shrinkToFit="0" vertical="bottom" wrapText="1"/>
    </xf>
    <xf borderId="14" fillId="0" fontId="4" numFmtId="0" xfId="0" applyAlignment="1" applyBorder="1" applyFont="1">
      <alignment horizontal="right" readingOrder="0" vertical="bottom"/>
    </xf>
    <xf borderId="16" fillId="0" fontId="4" numFmtId="0" xfId="0" applyAlignment="1" applyBorder="1" applyFont="1">
      <alignment horizontal="right" readingOrder="0" vertical="bottom"/>
    </xf>
    <xf borderId="17" fillId="0" fontId="4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  <xf borderId="7" fillId="0" fontId="2" numFmtId="0" xfId="0" applyBorder="1" applyFont="1"/>
    <xf borderId="9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2" numFmtId="165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22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7" fillId="0" fontId="2" numFmtId="0" xfId="0" applyBorder="1" applyFont="1"/>
    <xf borderId="27" fillId="0" fontId="1" numFmtId="0" xfId="0" applyBorder="1" applyFont="1"/>
    <xf borderId="28" fillId="0" fontId="2" numFmtId="0" xfId="0" applyBorder="1" applyFont="1"/>
    <xf borderId="26" fillId="0" fontId="2" numFmtId="0" xfId="0" applyBorder="1" applyFont="1"/>
    <xf borderId="0" fillId="0" fontId="2" numFmtId="0" xfId="0" applyFont="1"/>
    <xf borderId="1" fillId="3" fontId="5" numFmtId="0" xfId="0" applyAlignment="1" applyBorder="1" applyFill="1" applyFont="1">
      <alignment horizontal="left" readingOrder="0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1" fillId="3" fontId="17" numFmtId="0" xfId="0" applyAlignment="1" applyBorder="1" applyFill="1" applyFont="1">
      <alignment horizontal="left" readingOrder="0"/>
    </xf>
    <xf borderId="1" fillId="3" fontId="18" numFmtId="0" xfId="0" applyAlignment="1" applyBorder="1" applyFill="1" applyFont="1">
      <alignment readingOrder="0"/>
    </xf>
    <xf borderId="1" fillId="3" fontId="19" numFmtId="0" xfId="0" applyAlignment="1" applyBorder="1" applyFill="1" applyFont="1">
      <alignment readingOrder="0"/>
    </xf>
    <xf borderId="1" fillId="3" fontId="18" numFmtId="0" xfId="0" applyBorder="1" applyFill="1" applyFont="1"/>
    <xf borderId="29" fillId="0" fontId="20" numFmtId="0" xfId="0" applyAlignment="1" applyBorder="1" applyFont="1">
      <alignment readingOrder="0"/>
    </xf>
    <xf borderId="30" fillId="0" fontId="7" numFmtId="0" xfId="0" applyBorder="1" applyFont="1"/>
    <xf borderId="31" fillId="0" fontId="7" numFmtId="0" xfId="0" applyBorder="1" applyFont="1"/>
    <xf borderId="12" fillId="0" fontId="20" numFmtId="0" xfId="0" applyAlignment="1" applyBorder="1" applyFont="1">
      <alignment readingOrder="0"/>
    </xf>
    <xf borderId="32" fillId="0" fontId="7" numFmtId="0" xfId="0" applyBorder="1" applyFont="1"/>
    <xf borderId="26" fillId="0" fontId="21" numFmtId="0" xfId="0" applyAlignment="1" applyBorder="1" applyFont="1">
      <alignment readingOrder="0"/>
    </xf>
    <xf borderId="31" fillId="0" fontId="21" numFmtId="0" xfId="0" applyAlignment="1" applyBorder="1" applyFont="1">
      <alignment readingOrder="0"/>
    </xf>
    <xf borderId="33" fillId="0" fontId="2" numFmtId="0" xfId="0" applyBorder="1" applyFont="1"/>
    <xf borderId="34" fillId="0" fontId="2" numFmtId="0" xfId="0" applyAlignment="1" applyBorder="1" applyFont="1">
      <alignment readingOrder="0"/>
    </xf>
    <xf borderId="35" fillId="0" fontId="2" numFmtId="0" xfId="0" applyBorder="1" applyFont="1"/>
    <xf borderId="33" fillId="0" fontId="7" numFmtId="0" xfId="0" applyBorder="1" applyFont="1"/>
    <xf borderId="2" fillId="0" fontId="7" numFmtId="0" xfId="0" applyBorder="1" applyFont="1"/>
    <xf borderId="36" fillId="0" fontId="2" numFmtId="0" xfId="0" applyAlignment="1" applyBorder="1" applyFont="1">
      <alignment readingOrder="0"/>
    </xf>
    <xf borderId="14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29" fillId="0" fontId="11" numFmtId="0" xfId="0" applyAlignment="1" applyBorder="1" applyFont="1">
      <alignment readingOrder="0"/>
    </xf>
    <xf borderId="29" fillId="0" fontId="2" numFmtId="0" xfId="0" applyAlignment="1" applyBorder="1" applyFont="1">
      <alignment readingOrder="0"/>
    </xf>
    <xf borderId="36" fillId="0" fontId="2" numFmtId="0" xfId="0" applyBorder="1" applyFont="1"/>
    <xf borderId="12" fillId="0" fontId="22" numFmtId="0" xfId="0" applyAlignment="1" applyBorder="1" applyFont="1">
      <alignment readingOrder="0"/>
    </xf>
    <xf borderId="37" fillId="0" fontId="2" numFmtId="0" xfId="0" applyAlignment="1" applyBorder="1" applyFont="1">
      <alignment readingOrder="0"/>
    </xf>
    <xf borderId="38" fillId="0" fontId="7" numFmtId="0" xfId="0" applyBorder="1" applyFont="1"/>
    <xf borderId="39" fillId="0" fontId="3" numFmtId="0" xfId="0" applyAlignment="1" applyBorder="1" applyFont="1">
      <alignment vertical="bottom"/>
    </xf>
    <xf borderId="39" fillId="0" fontId="2" numFmtId="0" xfId="0" applyBorder="1" applyFont="1"/>
    <xf borderId="40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971550</xdr:colOff>
      <xdr:row>1</xdr:row>
      <xdr:rowOff>152400</xdr:rowOff>
    </xdr:from>
    <xdr:ext cx="4333875" cy="4667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40.63"/>
    <col customWidth="1" min="5" max="5" width="27.88"/>
    <col customWidth="1" min="7" max="7" width="57.1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 t="s">
        <v>4</v>
      </c>
      <c r="C3" s="2" t="s">
        <v>7</v>
      </c>
      <c r="D3" s="2" t="s">
        <v>8</v>
      </c>
      <c r="E3" s="2" t="s">
        <v>9</v>
      </c>
      <c r="G3" s="3" t="s">
        <v>10</v>
      </c>
    </row>
    <row r="4">
      <c r="B4" s="2" t="s">
        <v>12</v>
      </c>
      <c r="C4" s="2" t="s">
        <v>13</v>
      </c>
      <c r="D4" s="2" t="s">
        <v>14</v>
      </c>
      <c r="E4" s="2" t="s">
        <v>15</v>
      </c>
    </row>
    <row r="5">
      <c r="B5" s="2" t="s">
        <v>16</v>
      </c>
      <c r="C5" s="2" t="s">
        <v>17</v>
      </c>
      <c r="D5" s="2" t="s">
        <v>18</v>
      </c>
      <c r="E5" s="2" t="s">
        <v>19</v>
      </c>
    </row>
    <row r="6">
      <c r="B6" s="2" t="s">
        <v>20</v>
      </c>
      <c r="C6" s="2" t="s">
        <v>21</v>
      </c>
      <c r="D6" s="2" t="s">
        <v>22</v>
      </c>
      <c r="E6" s="2" t="s">
        <v>23</v>
      </c>
    </row>
    <row r="7">
      <c r="B7" s="2" t="s">
        <v>24</v>
      </c>
      <c r="C7" s="2" t="s">
        <v>26</v>
      </c>
      <c r="D7" s="2" t="s">
        <v>27</v>
      </c>
      <c r="E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31.88"/>
    <col customWidth="1" min="4" max="4" width="34.0"/>
    <col customWidth="1" min="5" max="5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 t="s">
        <v>4</v>
      </c>
      <c r="B2" s="2" t="s">
        <v>11</v>
      </c>
      <c r="C2" s="2" t="s">
        <v>8</v>
      </c>
      <c r="D2" s="2" t="s">
        <v>9</v>
      </c>
      <c r="E2" s="4"/>
      <c r="F2" s="4"/>
    </row>
    <row r="3">
      <c r="A3" s="2" t="s">
        <v>12</v>
      </c>
      <c r="B3" s="2" t="s">
        <v>28</v>
      </c>
      <c r="C3" s="2" t="s">
        <v>14</v>
      </c>
      <c r="D3" s="2" t="s">
        <v>15</v>
      </c>
      <c r="E3" s="4"/>
      <c r="F3" s="4"/>
    </row>
    <row r="4">
      <c r="A4" s="2" t="s">
        <v>16</v>
      </c>
      <c r="B4" s="2" t="s">
        <v>29</v>
      </c>
      <c r="C4" s="2" t="s">
        <v>18</v>
      </c>
      <c r="D4" s="2" t="s">
        <v>19</v>
      </c>
      <c r="E4" s="4"/>
      <c r="F4" s="4"/>
    </row>
    <row r="5">
      <c r="A5" s="2" t="s">
        <v>20</v>
      </c>
      <c r="B5" s="2" t="s">
        <v>31</v>
      </c>
      <c r="C5" s="2" t="s">
        <v>22</v>
      </c>
      <c r="D5" s="2" t="s">
        <v>23</v>
      </c>
      <c r="E5" s="4"/>
      <c r="F5" s="4"/>
    </row>
    <row r="6">
      <c r="A6" s="2" t="s">
        <v>24</v>
      </c>
      <c r="B6" s="2" t="s">
        <v>34</v>
      </c>
      <c r="C6" s="2" t="s">
        <v>27</v>
      </c>
      <c r="D6" s="6"/>
      <c r="E6" s="4"/>
      <c r="F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15.13"/>
  </cols>
  <sheetData>
    <row r="1">
      <c r="A1" s="10" t="s">
        <v>33</v>
      </c>
      <c r="B1" s="10">
        <v>71.0</v>
      </c>
      <c r="D1" s="10" t="s">
        <v>35</v>
      </c>
      <c r="E1" s="10">
        <v>14.0</v>
      </c>
    </row>
    <row r="3">
      <c r="B3" s="6"/>
      <c r="C3" s="5" t="s">
        <v>36</v>
      </c>
      <c r="D3" s="11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</row>
    <row r="4">
      <c r="B4" s="2" t="s">
        <v>43</v>
      </c>
      <c r="C4" s="2" t="s">
        <v>44</v>
      </c>
      <c r="D4" s="2">
        <v>120.0</v>
      </c>
      <c r="E4" s="6">
        <f>B1*'Nutrition Master'!I5</f>
        <v>710</v>
      </c>
      <c r="F4" s="6">
        <f>B1*'Nutrition Master'!J12</f>
        <v>142</v>
      </c>
      <c r="G4" s="4" t="str">
        <f>'Nutrition Master'!B11</f>
        <v>1000-1200</v>
      </c>
      <c r="H4" s="4">
        <f>'Nutrition Master'!B5</f>
        <v>70</v>
      </c>
      <c r="I4" s="18">
        <f>'Nutrition Master'!E2</f>
        <v>43751</v>
      </c>
    </row>
    <row r="5">
      <c r="B5" s="6"/>
      <c r="C5" s="2" t="s">
        <v>45</v>
      </c>
      <c r="D5" s="2" t="s">
        <v>46</v>
      </c>
      <c r="E5" s="6">
        <f>B1*'Nutrition Master'!I4</f>
        <v>568</v>
      </c>
      <c r="F5" s="6">
        <f>B1*'Nutrition Master'!J12</f>
        <v>142</v>
      </c>
      <c r="G5" s="4"/>
      <c r="H5" s="4">
        <f t="shared" ref="H5:I5" si="1">H4</f>
        <v>70</v>
      </c>
      <c r="I5" s="18">
        <f t="shared" si="1"/>
        <v>43751</v>
      </c>
    </row>
    <row r="6">
      <c r="B6" s="6"/>
      <c r="C6" s="6"/>
      <c r="D6" s="6"/>
      <c r="E6" s="6"/>
      <c r="F6" s="6"/>
      <c r="G6" s="4"/>
      <c r="H6" s="4"/>
      <c r="I6" s="4"/>
    </row>
    <row r="7">
      <c r="B7" s="6"/>
      <c r="C7" s="6"/>
      <c r="D7" s="6"/>
      <c r="E7" s="6"/>
      <c r="F7" s="6"/>
      <c r="G7" s="4"/>
      <c r="H7" s="4"/>
      <c r="I7" s="4"/>
    </row>
    <row r="8">
      <c r="B8" s="6"/>
      <c r="C8" s="6"/>
      <c r="D8" s="21" t="s">
        <v>48</v>
      </c>
      <c r="E8" s="24">
        <f t="shared" ref="E8:F8" si="2">sum(E4:E7)</f>
        <v>1278</v>
      </c>
      <c r="F8" s="24">
        <f t="shared" si="2"/>
        <v>284</v>
      </c>
      <c r="G8" s="27" t="str">
        <f t="shared" ref="G8:I8" si="3">G4</f>
        <v>1000-1200</v>
      </c>
      <c r="H8" s="27">
        <f t="shared" si="3"/>
        <v>70</v>
      </c>
      <c r="I8" s="28">
        <f t="shared" si="3"/>
        <v>43751</v>
      </c>
    </row>
    <row r="9">
      <c r="B9" s="6"/>
      <c r="C9" s="6"/>
      <c r="D9" s="6"/>
      <c r="E9" s="6"/>
      <c r="F9" s="6"/>
      <c r="G9" s="4"/>
      <c r="H9" s="4"/>
      <c r="I9" s="4"/>
    </row>
    <row r="10">
      <c r="B10" s="2" t="s">
        <v>56</v>
      </c>
      <c r="C10" s="2" t="s">
        <v>44</v>
      </c>
      <c r="D10" s="2">
        <v>120.0</v>
      </c>
      <c r="E10" s="6">
        <f>B1*'Nutrition Master'!I5</f>
        <v>710</v>
      </c>
      <c r="F10" s="6">
        <f>B1*'Nutrition Master'!J12</f>
        <v>142</v>
      </c>
      <c r="G10" s="4" t="str">
        <f>'Nutrition Master'!B11</f>
        <v>1000-1200</v>
      </c>
      <c r="H10" s="4">
        <f>'Nutrition Master'!B5</f>
        <v>70</v>
      </c>
      <c r="I10" s="18">
        <f>'Nutrition Master'!E2</f>
        <v>43751</v>
      </c>
    </row>
    <row r="11">
      <c r="B11" s="6"/>
      <c r="C11" s="6"/>
      <c r="D11" s="6"/>
      <c r="E11" s="6"/>
      <c r="F11" s="6"/>
      <c r="G11" s="4"/>
      <c r="H11" s="4"/>
      <c r="I11" s="4"/>
    </row>
    <row r="12">
      <c r="B12" s="6"/>
      <c r="C12" s="6"/>
      <c r="D12" s="6"/>
      <c r="E12" s="6"/>
      <c r="F12" s="6"/>
      <c r="G12" s="4"/>
      <c r="H12" s="4"/>
      <c r="I12" s="4"/>
    </row>
    <row r="13">
      <c r="B13" s="6"/>
      <c r="C13" s="6"/>
      <c r="D13" s="21" t="s">
        <v>48</v>
      </c>
      <c r="E13" s="24">
        <f t="shared" ref="E13:F13" si="4">sum(E10:E12)</f>
        <v>710</v>
      </c>
      <c r="F13" s="24">
        <f t="shared" si="4"/>
        <v>142</v>
      </c>
      <c r="G13" s="27" t="str">
        <f t="shared" ref="G13:I13" si="5">G10</f>
        <v>1000-1200</v>
      </c>
      <c r="H13" s="27">
        <f t="shared" si="5"/>
        <v>70</v>
      </c>
      <c r="I13" s="28">
        <f t="shared" si="5"/>
        <v>43751</v>
      </c>
    </row>
    <row r="14">
      <c r="B14" s="6"/>
      <c r="C14" s="6"/>
      <c r="D14" s="6"/>
      <c r="E14" s="6"/>
      <c r="F14" s="6"/>
      <c r="G14" s="4"/>
      <c r="H14" s="4"/>
      <c r="I14" s="4"/>
    </row>
    <row r="15">
      <c r="B15" s="6"/>
      <c r="C15" s="6"/>
      <c r="D15" s="6"/>
      <c r="E15" s="6"/>
      <c r="F15" s="6"/>
      <c r="G15" s="4"/>
      <c r="H15" s="4"/>
      <c r="I15" s="4"/>
    </row>
    <row r="16">
      <c r="B16" s="6"/>
      <c r="C16" s="6"/>
      <c r="D16" s="6"/>
      <c r="E16" s="6"/>
      <c r="F16" s="6"/>
      <c r="G16" s="4"/>
      <c r="H16" s="4"/>
      <c r="I16" s="4"/>
    </row>
    <row r="20">
      <c r="C20" s="8" t="s">
        <v>59</v>
      </c>
    </row>
    <row r="32">
      <c r="B32" s="8"/>
      <c r="H32" s="8"/>
    </row>
    <row r="34">
      <c r="A34" s="36" t="s">
        <v>63</v>
      </c>
      <c r="B34" s="38"/>
      <c r="C34" s="40" t="s">
        <v>67</v>
      </c>
      <c r="D34" s="40" t="s">
        <v>68</v>
      </c>
      <c r="E34" s="40" t="s">
        <v>70</v>
      </c>
      <c r="F34" s="40" t="s">
        <v>71</v>
      </c>
      <c r="H34" s="38"/>
      <c r="I34" s="40"/>
      <c r="J34" s="40"/>
      <c r="K34" s="40"/>
      <c r="L34" s="40"/>
    </row>
    <row r="35">
      <c r="B35" s="40" t="s">
        <v>72</v>
      </c>
      <c r="C35" s="41">
        <v>157.0</v>
      </c>
      <c r="D35" s="43">
        <v>2800.0</v>
      </c>
      <c r="E35" s="43">
        <v>90.0</v>
      </c>
      <c r="F35" s="44">
        <v>290.0</v>
      </c>
      <c r="H35" s="40"/>
      <c r="I35" s="41"/>
      <c r="J35" s="43"/>
      <c r="K35" s="43"/>
      <c r="L35" s="44"/>
    </row>
    <row r="36">
      <c r="B36" s="45" t="s">
        <v>76</v>
      </c>
      <c r="C36" s="46">
        <v>90.05</v>
      </c>
      <c r="D36" s="48">
        <v>1358.27</v>
      </c>
      <c r="E36" s="48">
        <v>17.86</v>
      </c>
      <c r="F36" s="52">
        <v>146.69</v>
      </c>
      <c r="H36" s="45"/>
      <c r="I36" s="46"/>
      <c r="J36" s="48"/>
      <c r="K36" s="48"/>
      <c r="L36" s="52"/>
    </row>
    <row r="37">
      <c r="B37" s="55"/>
      <c r="C37" s="56"/>
      <c r="D37" s="57"/>
      <c r="E37" s="57"/>
      <c r="F37" s="58"/>
      <c r="H37" s="55"/>
      <c r="I37" s="56"/>
      <c r="J37" s="57"/>
      <c r="K37" s="57"/>
      <c r="L37" s="58"/>
    </row>
    <row r="38">
      <c r="B38" s="60" t="s">
        <v>86</v>
      </c>
      <c r="C38" s="62"/>
      <c r="D38" s="62"/>
      <c r="E38" s="62"/>
      <c r="F38" s="62"/>
    </row>
    <row r="39">
      <c r="B39" s="62"/>
      <c r="C39" s="62"/>
      <c r="D39" s="62"/>
      <c r="E39" s="62"/>
      <c r="F39" s="62"/>
    </row>
    <row r="40">
      <c r="A40" s="63" t="s">
        <v>86</v>
      </c>
      <c r="B40" s="64"/>
      <c r="C40" s="65" t="s">
        <v>67</v>
      </c>
      <c r="D40" s="65" t="s">
        <v>68</v>
      </c>
      <c r="E40" s="65" t="s">
        <v>70</v>
      </c>
      <c r="F40" s="65" t="s">
        <v>71</v>
      </c>
    </row>
    <row r="41">
      <c r="B41" s="65" t="s">
        <v>72</v>
      </c>
      <c r="C41" s="67">
        <v>157.0</v>
      </c>
      <c r="D41" s="69">
        <v>2800.0</v>
      </c>
      <c r="E41" s="69">
        <v>90.0</v>
      </c>
      <c r="F41" s="70">
        <v>290.0</v>
      </c>
    </row>
    <row r="42">
      <c r="B42" s="71" t="s">
        <v>76</v>
      </c>
      <c r="C42" s="72">
        <v>114.2</v>
      </c>
      <c r="D42" s="73">
        <v>1956.0</v>
      </c>
      <c r="E42" s="73">
        <v>40.75</v>
      </c>
      <c r="F42" s="74">
        <v>228.75</v>
      </c>
    </row>
    <row r="43">
      <c r="B43" s="55"/>
      <c r="C43" s="56"/>
      <c r="D43" s="57"/>
      <c r="E43" s="57"/>
      <c r="F43" s="58"/>
    </row>
    <row r="44">
      <c r="C44" s="62"/>
      <c r="D44" s="62"/>
      <c r="E44" s="62"/>
      <c r="F44" s="62"/>
    </row>
    <row r="45">
      <c r="B45" s="62"/>
      <c r="C45" s="62"/>
      <c r="D45" s="62"/>
      <c r="E45" s="62"/>
      <c r="F45" s="62"/>
    </row>
    <row r="46">
      <c r="A46" s="63" t="s">
        <v>96</v>
      </c>
      <c r="B46" s="64"/>
      <c r="C46" s="65" t="s">
        <v>67</v>
      </c>
      <c r="D46" s="65" t="s">
        <v>68</v>
      </c>
      <c r="E46" s="65" t="s">
        <v>70</v>
      </c>
      <c r="F46" s="65" t="s">
        <v>71</v>
      </c>
    </row>
    <row r="47">
      <c r="B47" s="65" t="s">
        <v>72</v>
      </c>
      <c r="C47" s="67">
        <v>157.0</v>
      </c>
      <c r="D47" s="69">
        <v>2800.0</v>
      </c>
      <c r="E47" s="69">
        <v>90.0</v>
      </c>
      <c r="F47" s="70">
        <v>290.0</v>
      </c>
    </row>
    <row r="48">
      <c r="B48" s="71" t="s">
        <v>76</v>
      </c>
      <c r="C48" s="72">
        <v>-15.09</v>
      </c>
      <c r="D48" s="73">
        <v>-547.13</v>
      </c>
      <c r="E48" s="73">
        <v>-53.58</v>
      </c>
      <c r="F48" s="74">
        <v>40.19</v>
      </c>
    </row>
    <row r="49">
      <c r="B49" s="55"/>
      <c r="C49" s="56"/>
      <c r="D49" s="57"/>
      <c r="E49" s="57"/>
      <c r="F49" s="58"/>
    </row>
    <row r="52">
      <c r="A52" s="63" t="s">
        <v>98</v>
      </c>
      <c r="B52" s="64"/>
      <c r="C52" s="65" t="s">
        <v>67</v>
      </c>
      <c r="D52" s="65" t="s">
        <v>68</v>
      </c>
      <c r="E52" s="65" t="s">
        <v>70</v>
      </c>
      <c r="F52" s="65" t="s">
        <v>71</v>
      </c>
    </row>
    <row r="53">
      <c r="B53" s="65" t="s">
        <v>72</v>
      </c>
      <c r="C53" s="67">
        <v>157.0</v>
      </c>
      <c r="D53" s="69">
        <v>2800.0</v>
      </c>
      <c r="E53" s="69">
        <v>90.0</v>
      </c>
      <c r="F53" s="70">
        <v>290.0</v>
      </c>
    </row>
    <row r="54">
      <c r="B54" s="71" t="s">
        <v>76</v>
      </c>
      <c r="C54" s="72">
        <v>33.9</v>
      </c>
      <c r="D54" s="73">
        <v>277.08</v>
      </c>
      <c r="E54" s="73">
        <v>-12.9</v>
      </c>
      <c r="F54" s="74">
        <v>89.2</v>
      </c>
    </row>
    <row r="55">
      <c r="B55" s="55"/>
      <c r="C55" s="56"/>
      <c r="D55" s="57"/>
      <c r="E55" s="57"/>
      <c r="F55" s="58"/>
    </row>
    <row r="58">
      <c r="A58" s="63" t="s">
        <v>99</v>
      </c>
      <c r="B58" s="64"/>
      <c r="C58" s="65" t="s">
        <v>67</v>
      </c>
      <c r="D58" s="65" t="s">
        <v>68</v>
      </c>
      <c r="E58" s="65" t="s">
        <v>70</v>
      </c>
      <c r="F58" s="65" t="s">
        <v>71</v>
      </c>
    </row>
    <row r="59">
      <c r="B59" s="65" t="s">
        <v>72</v>
      </c>
      <c r="C59" s="67">
        <v>157.0</v>
      </c>
      <c r="D59" s="69">
        <v>2800.0</v>
      </c>
      <c r="E59" s="69">
        <v>90.0</v>
      </c>
      <c r="F59" s="70">
        <v>290.0</v>
      </c>
    </row>
    <row r="60">
      <c r="B60" s="71" t="s">
        <v>76</v>
      </c>
      <c r="C60" s="72">
        <v>30.0</v>
      </c>
      <c r="D60" s="73">
        <v>234.0</v>
      </c>
      <c r="E60" s="73">
        <v>-24.8</v>
      </c>
      <c r="F60" s="74">
        <v>35.0</v>
      </c>
    </row>
    <row r="61">
      <c r="B61" s="55"/>
      <c r="C61" s="56"/>
      <c r="D61" s="57"/>
      <c r="E61" s="57"/>
      <c r="F61" s="58"/>
    </row>
    <row r="64">
      <c r="A64" s="63" t="s">
        <v>101</v>
      </c>
      <c r="B64" s="64"/>
      <c r="C64" s="65" t="s">
        <v>67</v>
      </c>
      <c r="D64" s="65" t="s">
        <v>68</v>
      </c>
      <c r="E64" s="65" t="s">
        <v>70</v>
      </c>
      <c r="F64" s="65" t="s">
        <v>71</v>
      </c>
    </row>
    <row r="65">
      <c r="B65" s="65" t="s">
        <v>72</v>
      </c>
      <c r="C65" s="67">
        <v>157.0</v>
      </c>
      <c r="D65" s="69">
        <v>2800.0</v>
      </c>
      <c r="E65" s="69">
        <v>90.0</v>
      </c>
      <c r="F65" s="70">
        <v>290.0</v>
      </c>
    </row>
    <row r="66">
      <c r="B66" s="71" t="s">
        <v>76</v>
      </c>
      <c r="C66" s="72">
        <v>50.8</v>
      </c>
      <c r="D66" s="73">
        <v>1145.2</v>
      </c>
      <c r="E66" s="73">
        <v>-27.2</v>
      </c>
      <c r="F66" s="74">
        <v>253.2</v>
      </c>
    </row>
    <row r="67">
      <c r="B67" s="55"/>
      <c r="C67" s="56"/>
      <c r="D67" s="57"/>
      <c r="E67" s="57"/>
      <c r="F67" s="58"/>
    </row>
    <row r="70">
      <c r="A70" s="63" t="s">
        <v>102</v>
      </c>
      <c r="B70" s="64"/>
      <c r="C70" s="65" t="s">
        <v>67</v>
      </c>
      <c r="D70" s="65" t="s">
        <v>68</v>
      </c>
      <c r="E70" s="65" t="s">
        <v>70</v>
      </c>
      <c r="F70" s="65" t="s">
        <v>71</v>
      </c>
    </row>
    <row r="71">
      <c r="B71" s="65" t="s">
        <v>72</v>
      </c>
      <c r="C71" s="67">
        <v>157.0</v>
      </c>
      <c r="D71" s="69">
        <v>2800.0</v>
      </c>
      <c r="E71" s="69">
        <v>90.0</v>
      </c>
      <c r="F71" s="70">
        <v>290.0</v>
      </c>
    </row>
    <row r="72">
      <c r="B72" s="71" t="s">
        <v>76</v>
      </c>
      <c r="C72" s="72">
        <v>57.56</v>
      </c>
      <c r="D72" s="73">
        <v>493.1</v>
      </c>
      <c r="E72" s="73">
        <v>-22.12</v>
      </c>
      <c r="F72" s="74">
        <v>64.26</v>
      </c>
    </row>
    <row r="73">
      <c r="B73" s="55"/>
      <c r="C73" s="56"/>
      <c r="D73" s="57"/>
      <c r="E73" s="57"/>
      <c r="F73" s="58"/>
    </row>
    <row r="76">
      <c r="A76" s="63" t="s">
        <v>103</v>
      </c>
      <c r="B76" s="64"/>
      <c r="C76" s="65" t="s">
        <v>67</v>
      </c>
      <c r="D76" s="65" t="s">
        <v>68</v>
      </c>
      <c r="E76" s="65" t="s">
        <v>70</v>
      </c>
      <c r="F76" s="65" t="s">
        <v>71</v>
      </c>
    </row>
    <row r="77">
      <c r="B77" s="65" t="s">
        <v>72</v>
      </c>
      <c r="C77" s="67">
        <v>157.0</v>
      </c>
      <c r="D77" s="69">
        <v>2800.0</v>
      </c>
      <c r="E77" s="69">
        <v>90.0</v>
      </c>
      <c r="F77" s="70">
        <v>290.0</v>
      </c>
    </row>
    <row r="78">
      <c r="B78" s="71" t="s">
        <v>76</v>
      </c>
      <c r="C78" s="72">
        <v>47.0</v>
      </c>
      <c r="D78" s="73">
        <v>563.8</v>
      </c>
      <c r="E78" s="73">
        <v>-24.138</v>
      </c>
      <c r="F78" s="74">
        <v>99.222</v>
      </c>
    </row>
    <row r="79">
      <c r="B79" s="55"/>
      <c r="C79" s="56"/>
      <c r="D79" s="57"/>
      <c r="E79" s="57"/>
      <c r="F79" s="58"/>
    </row>
    <row r="82">
      <c r="A82" s="63" t="s">
        <v>104</v>
      </c>
      <c r="B82" s="64"/>
      <c r="C82" s="65" t="s">
        <v>67</v>
      </c>
      <c r="D82" s="65" t="s">
        <v>68</v>
      </c>
      <c r="E82" s="65" t="s">
        <v>70</v>
      </c>
      <c r="F82" s="65" t="s">
        <v>71</v>
      </c>
    </row>
    <row r="83">
      <c r="B83" s="65" t="s">
        <v>72</v>
      </c>
      <c r="C83" s="67">
        <v>157.0</v>
      </c>
      <c r="D83" s="69">
        <v>2800.0</v>
      </c>
      <c r="E83" s="69">
        <v>90.0</v>
      </c>
      <c r="F83" s="70">
        <v>290.0</v>
      </c>
    </row>
    <row r="84">
      <c r="B84" s="71" t="s">
        <v>76</v>
      </c>
      <c r="C84" s="72">
        <v>10.0</v>
      </c>
      <c r="D84" s="73">
        <v>-263.0</v>
      </c>
      <c r="E84" s="73">
        <v>-25.0</v>
      </c>
      <c r="F84" s="74">
        <v>-226.0</v>
      </c>
    </row>
    <row r="85">
      <c r="B85" s="55"/>
      <c r="C85" s="56"/>
      <c r="D85" s="57"/>
      <c r="E85" s="57"/>
      <c r="F85" s="58"/>
    </row>
    <row r="88">
      <c r="A88" s="63" t="s">
        <v>105</v>
      </c>
      <c r="B88" s="64"/>
      <c r="C88" s="65" t="s">
        <v>67</v>
      </c>
      <c r="D88" s="65" t="s">
        <v>68</v>
      </c>
      <c r="E88" s="65" t="s">
        <v>70</v>
      </c>
      <c r="F88" s="65" t="s">
        <v>71</v>
      </c>
    </row>
    <row r="89">
      <c r="B89" s="65" t="s">
        <v>72</v>
      </c>
      <c r="C89" s="67">
        <v>157.0</v>
      </c>
      <c r="D89" s="69">
        <v>2800.0</v>
      </c>
      <c r="E89" s="69">
        <v>90.0</v>
      </c>
      <c r="F89" s="70">
        <v>290.0</v>
      </c>
    </row>
    <row r="90">
      <c r="B90" s="71" t="s">
        <v>76</v>
      </c>
      <c r="C90" s="72">
        <v>52.0</v>
      </c>
      <c r="D90" s="73">
        <v>631.0</v>
      </c>
      <c r="E90" s="73">
        <v>-33.0</v>
      </c>
      <c r="F90" s="74">
        <v>128.0</v>
      </c>
    </row>
    <row r="91">
      <c r="B91" s="55"/>
      <c r="C91" s="56"/>
      <c r="D91" s="57"/>
      <c r="E91" s="57"/>
      <c r="F91" s="58"/>
    </row>
    <row r="94">
      <c r="A94" s="63" t="s">
        <v>106</v>
      </c>
      <c r="B94" s="64"/>
      <c r="C94" s="65" t="s">
        <v>67</v>
      </c>
      <c r="D94" s="65" t="s">
        <v>68</v>
      </c>
      <c r="E94" s="65" t="s">
        <v>70</v>
      </c>
      <c r="F94" s="65" t="s">
        <v>71</v>
      </c>
    </row>
    <row r="95">
      <c r="B95" s="65" t="s">
        <v>72</v>
      </c>
      <c r="C95" s="67">
        <v>157.0</v>
      </c>
      <c r="D95" s="69">
        <v>2800.0</v>
      </c>
      <c r="E95" s="69">
        <v>90.0</v>
      </c>
      <c r="F95" s="70">
        <v>290.0</v>
      </c>
    </row>
    <row r="96">
      <c r="B96" s="71" t="s">
        <v>76</v>
      </c>
      <c r="C96" s="72">
        <v>62.6</v>
      </c>
      <c r="D96" s="73">
        <v>1141.0</v>
      </c>
      <c r="E96" s="73">
        <v>-1.74</v>
      </c>
      <c r="F96" s="74">
        <v>167.0</v>
      </c>
    </row>
    <row r="97">
      <c r="B97" s="55"/>
      <c r="C97" s="56"/>
      <c r="D97" s="57"/>
      <c r="E97" s="57"/>
      <c r="F97" s="58"/>
    </row>
    <row r="100">
      <c r="A100" s="63" t="s">
        <v>107</v>
      </c>
      <c r="B100" s="64"/>
      <c r="C100" s="65" t="s">
        <v>67</v>
      </c>
      <c r="D100" s="65" t="s">
        <v>68</v>
      </c>
      <c r="E100" s="65" t="s">
        <v>70</v>
      </c>
      <c r="F100" s="65" t="s">
        <v>71</v>
      </c>
    </row>
    <row r="101">
      <c r="B101" s="65" t="s">
        <v>72</v>
      </c>
      <c r="C101" s="67">
        <v>157.0</v>
      </c>
      <c r="D101" s="69">
        <v>2800.0</v>
      </c>
      <c r="E101" s="69">
        <v>90.0</v>
      </c>
      <c r="F101" s="70">
        <v>290.0</v>
      </c>
    </row>
    <row r="102">
      <c r="B102" s="71" t="s">
        <v>76</v>
      </c>
      <c r="C102" s="72">
        <v>37.0</v>
      </c>
      <c r="D102" s="73">
        <v>714.0</v>
      </c>
      <c r="E102" s="73">
        <v>-28.0</v>
      </c>
      <c r="F102" s="74">
        <v>151.0</v>
      </c>
    </row>
    <row r="103">
      <c r="B103" s="55"/>
      <c r="C103" s="56"/>
      <c r="D103" s="57"/>
      <c r="E103" s="57"/>
      <c r="F103" s="58"/>
    </row>
  </sheetData>
  <mergeCells count="77">
    <mergeCell ref="D72:D73"/>
    <mergeCell ref="E72:E73"/>
    <mergeCell ref="A64:A67"/>
    <mergeCell ref="B66:B67"/>
    <mergeCell ref="C66:C67"/>
    <mergeCell ref="D66:D67"/>
    <mergeCell ref="E66:E67"/>
    <mergeCell ref="F66:F67"/>
    <mergeCell ref="F72:F73"/>
    <mergeCell ref="A70:A73"/>
    <mergeCell ref="A76:A79"/>
    <mergeCell ref="B78:B79"/>
    <mergeCell ref="C78:C79"/>
    <mergeCell ref="D78:D79"/>
    <mergeCell ref="E78:E79"/>
    <mergeCell ref="F78:F79"/>
    <mergeCell ref="D90:D91"/>
    <mergeCell ref="E90:E91"/>
    <mergeCell ref="A82:A85"/>
    <mergeCell ref="B84:B85"/>
    <mergeCell ref="C84:C85"/>
    <mergeCell ref="D84:D85"/>
    <mergeCell ref="E84:E85"/>
    <mergeCell ref="F84:F85"/>
    <mergeCell ref="A88:A91"/>
    <mergeCell ref="F90:F91"/>
    <mergeCell ref="A94:A97"/>
    <mergeCell ref="A100:A103"/>
    <mergeCell ref="B102:B103"/>
    <mergeCell ref="C102:C103"/>
    <mergeCell ref="D102:D103"/>
    <mergeCell ref="E102:E103"/>
    <mergeCell ref="F102:F103"/>
    <mergeCell ref="B90:B91"/>
    <mergeCell ref="C90:C91"/>
    <mergeCell ref="B96:B97"/>
    <mergeCell ref="C96:C97"/>
    <mergeCell ref="D96:D97"/>
    <mergeCell ref="E96:E97"/>
    <mergeCell ref="F96:F97"/>
    <mergeCell ref="I36:I37"/>
    <mergeCell ref="J36:J37"/>
    <mergeCell ref="K36:K37"/>
    <mergeCell ref="L36:L37"/>
    <mergeCell ref="A34:A37"/>
    <mergeCell ref="B36:B37"/>
    <mergeCell ref="C36:C37"/>
    <mergeCell ref="D36:D37"/>
    <mergeCell ref="E36:E37"/>
    <mergeCell ref="F36:F37"/>
    <mergeCell ref="H36:H37"/>
    <mergeCell ref="D48:D49"/>
    <mergeCell ref="E48:E49"/>
    <mergeCell ref="A40:A43"/>
    <mergeCell ref="B42:B43"/>
    <mergeCell ref="C42:C43"/>
    <mergeCell ref="D42:D43"/>
    <mergeCell ref="E42:E43"/>
    <mergeCell ref="F42:F43"/>
    <mergeCell ref="A46:A49"/>
    <mergeCell ref="F48:F49"/>
    <mergeCell ref="B48:B49"/>
    <mergeCell ref="C48:C49"/>
    <mergeCell ref="B54:B55"/>
    <mergeCell ref="C54:C55"/>
    <mergeCell ref="D54:D55"/>
    <mergeCell ref="E54:E55"/>
    <mergeCell ref="F54:F55"/>
    <mergeCell ref="A52:A55"/>
    <mergeCell ref="A58:A61"/>
    <mergeCell ref="B60:B61"/>
    <mergeCell ref="C60:C61"/>
    <mergeCell ref="D60:D61"/>
    <mergeCell ref="E60:E61"/>
    <mergeCell ref="F60:F61"/>
    <mergeCell ref="B72:B73"/>
    <mergeCell ref="C72:C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63"/>
    <col customWidth="1" min="3" max="3" width="17.13"/>
    <col customWidth="1" min="4" max="4" width="9.0"/>
    <col customWidth="1" min="5" max="5" width="8.0"/>
    <col customWidth="1" min="6" max="6" width="15.13"/>
    <col customWidth="1" min="7" max="7" width="7.0"/>
    <col customWidth="1" min="8" max="8" width="10.63"/>
    <col customWidth="1" min="9" max="9" width="6.38"/>
    <col customWidth="1" min="10" max="10" width="11.63"/>
    <col customWidth="1" min="11" max="11" width="6.0"/>
    <col customWidth="1" min="12" max="12" width="5.88"/>
    <col customWidth="1" min="13" max="13" width="7.13"/>
    <col customWidth="1" min="14" max="14" width="8.0"/>
    <col customWidth="1" min="15" max="15" width="8.13"/>
    <col customWidth="1" min="16" max="16" width="10.5"/>
    <col customWidth="1" min="17" max="17" width="6.5"/>
    <col customWidth="1" min="18" max="18" width="7.75"/>
    <col customWidth="1" min="19" max="19" width="12.25"/>
    <col customWidth="1" min="20" max="20" width="10.38"/>
    <col customWidth="1" min="22" max="22" width="13.88"/>
    <col customWidth="1" min="23" max="23" width="7.5"/>
    <col customWidth="1" min="24" max="24" width="7.63"/>
    <col customWidth="1" min="25" max="25" width="13.88"/>
    <col customWidth="1" min="26" max="26" width="8.0"/>
    <col customWidth="1" min="27" max="27" width="7.13"/>
    <col customWidth="1" min="28" max="28" width="8.5"/>
    <col customWidth="1" min="29" max="29" width="7.75"/>
    <col customWidth="1" min="30" max="30" width="7.5"/>
    <col customWidth="1" min="31" max="31" width="8.13"/>
    <col customWidth="1" min="32" max="32" width="7.88"/>
    <col customWidth="1" min="33" max="33" width="7.5"/>
    <col customWidth="1" min="34" max="34" width="7.63"/>
    <col customWidth="1" min="35" max="35" width="8.38"/>
  </cols>
  <sheetData>
    <row r="1">
      <c r="A1" s="5" t="s">
        <v>25</v>
      </c>
      <c r="B1" s="7">
        <v>100.0</v>
      </c>
      <c r="E1" s="5" t="s">
        <v>30</v>
      </c>
      <c r="F1" s="5" t="s">
        <v>32</v>
      </c>
      <c r="G1" s="8"/>
      <c r="H1" s="9"/>
      <c r="I1" s="8"/>
      <c r="J1" s="8" t="s">
        <v>33</v>
      </c>
      <c r="K1" s="8">
        <v>71.0</v>
      </c>
      <c r="L1" s="8"/>
      <c r="M1" s="8"/>
      <c r="N1" s="8"/>
      <c r="O1" s="9"/>
    </row>
    <row r="2">
      <c r="E2" s="7">
        <f>K1*'Nutrition Master'!J12</f>
        <v>142</v>
      </c>
      <c r="F2" s="7">
        <v>80.0</v>
      </c>
      <c r="G2" s="10"/>
      <c r="H2" s="9"/>
      <c r="I2" s="10"/>
      <c r="J2" s="10"/>
      <c r="K2" s="10"/>
      <c r="L2" s="10"/>
      <c r="M2" s="10"/>
      <c r="N2" s="10"/>
      <c r="O2" s="9"/>
    </row>
    <row r="3">
      <c r="F3" s="12"/>
      <c r="G3" s="13">
        <v>46107.0</v>
      </c>
      <c r="H3" s="14">
        <v>46108.0</v>
      </c>
      <c r="I3" s="14">
        <v>46111.0</v>
      </c>
      <c r="J3" s="14">
        <v>46112.0</v>
      </c>
      <c r="K3" s="14">
        <v>46114.0</v>
      </c>
      <c r="L3" s="14">
        <v>46126.0</v>
      </c>
      <c r="M3" s="14">
        <v>46127.0</v>
      </c>
      <c r="N3" s="15">
        <v>46107.0</v>
      </c>
      <c r="O3" s="16">
        <v>46063.0</v>
      </c>
      <c r="P3" s="16">
        <v>46111.0</v>
      </c>
      <c r="Q3" s="16">
        <v>46112.0</v>
      </c>
      <c r="R3" s="16">
        <v>46114.0</v>
      </c>
      <c r="S3" s="16">
        <v>46126.0</v>
      </c>
      <c r="T3" s="17">
        <v>46127.0</v>
      </c>
      <c r="V3" s="19">
        <v>46107.0</v>
      </c>
      <c r="W3" s="14">
        <v>46146.0</v>
      </c>
      <c r="X3" s="14">
        <v>46111.0</v>
      </c>
      <c r="Y3" s="14">
        <v>46112.0</v>
      </c>
      <c r="Z3" s="14">
        <v>46114.0</v>
      </c>
      <c r="AA3" s="14">
        <v>46126.0</v>
      </c>
      <c r="AB3" s="14">
        <v>46127.0</v>
      </c>
      <c r="AC3" s="15">
        <v>46107.0</v>
      </c>
      <c r="AD3" s="16">
        <v>46146.0</v>
      </c>
      <c r="AE3" s="16">
        <v>46111.0</v>
      </c>
      <c r="AF3" s="16">
        <v>46112.0</v>
      </c>
      <c r="AG3" s="16">
        <v>46114.0</v>
      </c>
      <c r="AH3" s="16">
        <v>46126.0</v>
      </c>
      <c r="AI3" s="16">
        <v>46127.0</v>
      </c>
    </row>
    <row r="4">
      <c r="A4" s="20" t="s">
        <v>47</v>
      </c>
      <c r="B4" s="22" t="s">
        <v>49</v>
      </c>
      <c r="C4" s="22" t="s">
        <v>50</v>
      </c>
      <c r="D4" s="22" t="s">
        <v>51</v>
      </c>
      <c r="E4" s="22" t="s">
        <v>52</v>
      </c>
      <c r="F4" s="23" t="s">
        <v>53</v>
      </c>
      <c r="G4" s="25" t="s">
        <v>54</v>
      </c>
      <c r="H4" s="26" t="s">
        <v>54</v>
      </c>
      <c r="I4" s="5" t="s">
        <v>54</v>
      </c>
      <c r="J4" s="26" t="s">
        <v>54</v>
      </c>
      <c r="K4" s="5" t="s">
        <v>54</v>
      </c>
      <c r="L4" s="26" t="s">
        <v>54</v>
      </c>
      <c r="M4" s="5" t="s">
        <v>54</v>
      </c>
      <c r="N4" s="5" t="s">
        <v>55</v>
      </c>
      <c r="O4" s="26" t="s">
        <v>55</v>
      </c>
      <c r="P4" s="26" t="s">
        <v>55</v>
      </c>
      <c r="Q4" s="26" t="s">
        <v>55</v>
      </c>
      <c r="R4" s="26" t="s">
        <v>55</v>
      </c>
      <c r="S4" s="26" t="s">
        <v>55</v>
      </c>
      <c r="T4" s="29" t="s">
        <v>55</v>
      </c>
      <c r="V4" s="30" t="s">
        <v>54</v>
      </c>
      <c r="W4" s="26" t="s">
        <v>54</v>
      </c>
      <c r="X4" s="5" t="s">
        <v>54</v>
      </c>
      <c r="Y4" s="26" t="s">
        <v>54</v>
      </c>
      <c r="Z4" s="5" t="s">
        <v>54</v>
      </c>
      <c r="AA4" s="26" t="s">
        <v>54</v>
      </c>
      <c r="AB4" s="5" t="s">
        <v>54</v>
      </c>
      <c r="AC4" s="5" t="s">
        <v>55</v>
      </c>
      <c r="AD4" s="26" t="s">
        <v>55</v>
      </c>
      <c r="AE4" s="26" t="s">
        <v>55</v>
      </c>
      <c r="AF4" s="26" t="s">
        <v>55</v>
      </c>
      <c r="AG4" s="26" t="s">
        <v>55</v>
      </c>
      <c r="AH4" s="26" t="s">
        <v>55</v>
      </c>
      <c r="AI4" s="26" t="s">
        <v>55</v>
      </c>
    </row>
    <row r="5">
      <c r="A5" s="31" t="s">
        <v>57</v>
      </c>
      <c r="B5" s="7">
        <v>3.2</v>
      </c>
      <c r="C5" s="4">
        <f>E2/B5*B1</f>
        <v>4437.5</v>
      </c>
      <c r="D5" s="7">
        <v>500.0</v>
      </c>
      <c r="E5" s="7">
        <v>1250.0</v>
      </c>
      <c r="F5" s="32">
        <f>E5/B1*B5</f>
        <v>40</v>
      </c>
      <c r="G5" s="34">
        <v>290.0</v>
      </c>
      <c r="H5" s="7">
        <v>1000.0</v>
      </c>
      <c r="I5" s="7">
        <v>500.0</v>
      </c>
      <c r="J5" s="7">
        <v>1100.0</v>
      </c>
      <c r="K5" s="7">
        <v>1100.0</v>
      </c>
      <c r="L5" s="7">
        <v>1000.0</v>
      </c>
      <c r="M5" s="7">
        <v>500.0</v>
      </c>
      <c r="N5" s="4">
        <f t="shared" ref="N5:T5" si="1">G5*($B5/$B$1)</f>
        <v>9.28</v>
      </c>
      <c r="O5" s="4">
        <f t="shared" si="1"/>
        <v>32</v>
      </c>
      <c r="P5" s="4">
        <f t="shared" si="1"/>
        <v>16</v>
      </c>
      <c r="Q5" s="4">
        <f t="shared" si="1"/>
        <v>35.2</v>
      </c>
      <c r="R5" s="4">
        <f t="shared" si="1"/>
        <v>35.2</v>
      </c>
      <c r="S5" s="4">
        <f t="shared" si="1"/>
        <v>32</v>
      </c>
      <c r="T5" s="32">
        <f t="shared" si="1"/>
        <v>16</v>
      </c>
      <c r="V5" s="31">
        <v>500.0</v>
      </c>
      <c r="W5" s="7">
        <v>500.0</v>
      </c>
      <c r="X5" s="7"/>
      <c r="Y5" s="7"/>
      <c r="Z5" s="7"/>
      <c r="AA5" s="7"/>
      <c r="AB5" s="7"/>
      <c r="AC5" s="4">
        <f t="shared" ref="AC5:AI5" si="2">V5*($B5/$B$1)</f>
        <v>16</v>
      </c>
      <c r="AD5" s="4">
        <f t="shared" si="2"/>
        <v>16</v>
      </c>
      <c r="AE5" s="4">
        <f t="shared" si="2"/>
        <v>0</v>
      </c>
      <c r="AF5" s="4">
        <f t="shared" si="2"/>
        <v>0</v>
      </c>
      <c r="AG5" s="4">
        <f t="shared" si="2"/>
        <v>0</v>
      </c>
      <c r="AH5" s="4">
        <f t="shared" si="2"/>
        <v>0</v>
      </c>
      <c r="AI5" s="4">
        <f t="shared" si="2"/>
        <v>0</v>
      </c>
    </row>
    <row r="6">
      <c r="A6" s="31" t="s">
        <v>82</v>
      </c>
      <c r="B6" s="7">
        <v>3.8</v>
      </c>
      <c r="C6" s="4">
        <f>Round((E2/B6*B1),2)</f>
        <v>3736.84</v>
      </c>
      <c r="D6" s="7">
        <v>250.0</v>
      </c>
      <c r="E6" s="7">
        <v>250.0</v>
      </c>
      <c r="F6" s="32">
        <f>E6/B1*B6</f>
        <v>9.5</v>
      </c>
      <c r="G6" s="34"/>
      <c r="H6" s="7"/>
      <c r="I6" s="7"/>
      <c r="J6" s="7">
        <v>100.0</v>
      </c>
      <c r="K6" s="4"/>
      <c r="L6" s="4"/>
      <c r="M6" s="4"/>
      <c r="N6" s="4">
        <f t="shared" ref="N6:T6" si="3">G6*($B6/$B$1)</f>
        <v>0</v>
      </c>
      <c r="O6" s="4">
        <f t="shared" si="3"/>
        <v>0</v>
      </c>
      <c r="P6" s="4">
        <f t="shared" si="3"/>
        <v>0</v>
      </c>
      <c r="Q6" s="4">
        <f t="shared" si="3"/>
        <v>3.8</v>
      </c>
      <c r="R6" s="4">
        <f t="shared" si="3"/>
        <v>0</v>
      </c>
      <c r="S6" s="4">
        <f t="shared" si="3"/>
        <v>0</v>
      </c>
      <c r="T6" s="32">
        <f t="shared" si="3"/>
        <v>0</v>
      </c>
      <c r="V6" s="31"/>
      <c r="W6" s="7"/>
      <c r="X6" s="7"/>
      <c r="Y6" s="7"/>
      <c r="Z6" s="4"/>
      <c r="AA6" s="4"/>
      <c r="AB6" s="4"/>
      <c r="AC6" s="4">
        <f t="shared" ref="AC6:AI6" si="4">V6*($B6/$B$1)</f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  <c r="AG6" s="4">
        <f t="shared" si="4"/>
        <v>0</v>
      </c>
      <c r="AH6" s="4">
        <f t="shared" si="4"/>
        <v>0</v>
      </c>
      <c r="AI6" s="4">
        <f t="shared" si="4"/>
        <v>0</v>
      </c>
    </row>
    <row r="7">
      <c r="A7" s="31" t="s">
        <v>89</v>
      </c>
      <c r="B7" s="7">
        <v>20.0</v>
      </c>
      <c r="C7" s="4">
        <f>Round((E2/B7*B1),2)</f>
        <v>710</v>
      </c>
      <c r="D7" s="7">
        <v>40.0</v>
      </c>
      <c r="E7" s="7">
        <v>80.0</v>
      </c>
      <c r="F7" s="32">
        <f>E7/B1*B7</f>
        <v>16</v>
      </c>
      <c r="G7" s="34">
        <v>80.0</v>
      </c>
      <c r="H7" s="7">
        <v>80.0</v>
      </c>
      <c r="I7" s="7">
        <v>80.0</v>
      </c>
      <c r="J7" s="7">
        <v>80.0</v>
      </c>
      <c r="K7" s="7">
        <v>80.0</v>
      </c>
      <c r="L7" s="7">
        <v>80.0</v>
      </c>
      <c r="M7" s="7">
        <v>80.0</v>
      </c>
      <c r="N7" s="4">
        <f t="shared" ref="N7:T7" si="5">G7*($B7/$B$1)</f>
        <v>16</v>
      </c>
      <c r="O7" s="4">
        <f t="shared" si="5"/>
        <v>16</v>
      </c>
      <c r="P7" s="4">
        <f t="shared" si="5"/>
        <v>16</v>
      </c>
      <c r="Q7" s="4">
        <f t="shared" si="5"/>
        <v>16</v>
      </c>
      <c r="R7" s="4">
        <f t="shared" si="5"/>
        <v>16</v>
      </c>
      <c r="S7" s="4">
        <f t="shared" si="5"/>
        <v>16</v>
      </c>
      <c r="T7" s="32">
        <f t="shared" si="5"/>
        <v>16</v>
      </c>
      <c r="V7" s="31">
        <v>80.0</v>
      </c>
      <c r="W7" s="7">
        <v>40.0</v>
      </c>
      <c r="X7" s="7"/>
      <c r="Y7" s="7"/>
      <c r="Z7" s="7"/>
      <c r="AA7" s="7"/>
      <c r="AB7" s="7"/>
      <c r="AC7" s="4">
        <f t="shared" ref="AC7:AI7" si="6">V7*($B7/$B$1)</f>
        <v>16</v>
      </c>
      <c r="AD7" s="4">
        <f t="shared" si="6"/>
        <v>8</v>
      </c>
      <c r="AE7" s="4">
        <f t="shared" si="6"/>
        <v>0</v>
      </c>
      <c r="AF7" s="4">
        <f t="shared" si="6"/>
        <v>0</v>
      </c>
      <c r="AG7" s="4">
        <f t="shared" si="6"/>
        <v>0</v>
      </c>
      <c r="AH7" s="4">
        <f t="shared" si="6"/>
        <v>0</v>
      </c>
      <c r="AI7" s="4">
        <f t="shared" si="6"/>
        <v>0</v>
      </c>
    </row>
    <row r="8">
      <c r="A8" s="31" t="s">
        <v>62</v>
      </c>
      <c r="B8" s="7">
        <v>19.0</v>
      </c>
      <c r="C8" s="4">
        <f>Round((E2/B8*B1),2)</f>
        <v>747.37</v>
      </c>
      <c r="D8" s="4"/>
      <c r="E8" s="4"/>
      <c r="F8" s="32"/>
      <c r="G8" s="34"/>
      <c r="H8" s="7"/>
      <c r="I8" s="7"/>
      <c r="J8" s="4"/>
      <c r="K8" s="4"/>
      <c r="L8" s="4"/>
      <c r="M8" s="4"/>
      <c r="N8" s="4">
        <f t="shared" ref="N8:T8" si="7">G8*($B8/$B$1)</f>
        <v>0</v>
      </c>
      <c r="O8" s="4">
        <f t="shared" si="7"/>
        <v>0</v>
      </c>
      <c r="P8" s="4">
        <f t="shared" si="7"/>
        <v>0</v>
      </c>
      <c r="Q8" s="4">
        <f t="shared" si="7"/>
        <v>0</v>
      </c>
      <c r="R8" s="4">
        <f t="shared" si="7"/>
        <v>0</v>
      </c>
      <c r="S8" s="4">
        <f t="shared" si="7"/>
        <v>0</v>
      </c>
      <c r="T8" s="32">
        <f t="shared" si="7"/>
        <v>0</v>
      </c>
      <c r="V8" s="31"/>
      <c r="W8" s="7"/>
      <c r="X8" s="7"/>
      <c r="Y8" s="4"/>
      <c r="Z8" s="4"/>
      <c r="AA8" s="4"/>
      <c r="AB8" s="4"/>
      <c r="AC8" s="4">
        <f t="shared" ref="AC8:AI8" si="8">V8*($B8/$B$1)</f>
        <v>0</v>
      </c>
      <c r="AD8" s="4">
        <f t="shared" si="8"/>
        <v>0</v>
      </c>
      <c r="AE8" s="4">
        <f t="shared" si="8"/>
        <v>0</v>
      </c>
      <c r="AF8" s="4">
        <f t="shared" si="8"/>
        <v>0</v>
      </c>
      <c r="AG8" s="4">
        <f t="shared" si="8"/>
        <v>0</v>
      </c>
      <c r="AH8" s="4">
        <f t="shared" si="8"/>
        <v>0</v>
      </c>
      <c r="AI8" s="4">
        <f t="shared" si="8"/>
        <v>0</v>
      </c>
    </row>
    <row r="9">
      <c r="A9" s="31" t="s">
        <v>100</v>
      </c>
      <c r="B9" s="7">
        <v>8.7</v>
      </c>
      <c r="C9" s="4">
        <f>Round((E2/B9*B1),2)</f>
        <v>1632.18</v>
      </c>
      <c r="D9" s="4"/>
      <c r="E9" s="4"/>
      <c r="F9" s="32"/>
      <c r="G9" s="77"/>
      <c r="H9" s="7"/>
      <c r="I9" s="7"/>
      <c r="J9" s="4"/>
      <c r="K9" s="4"/>
      <c r="L9" s="4"/>
      <c r="M9" s="4"/>
      <c r="N9" s="4">
        <f t="shared" ref="N9:T9" si="9">G9*($B9/$B$1)</f>
        <v>0</v>
      </c>
      <c r="O9" s="4">
        <f t="shared" si="9"/>
        <v>0</v>
      </c>
      <c r="P9" s="4">
        <f t="shared" si="9"/>
        <v>0</v>
      </c>
      <c r="Q9" s="4">
        <f t="shared" si="9"/>
        <v>0</v>
      </c>
      <c r="R9" s="4">
        <f t="shared" si="9"/>
        <v>0</v>
      </c>
      <c r="S9" s="4">
        <f t="shared" si="9"/>
        <v>0</v>
      </c>
      <c r="T9" s="32">
        <f t="shared" si="9"/>
        <v>0</v>
      </c>
      <c r="V9" s="78"/>
      <c r="W9" s="7"/>
      <c r="X9" s="7"/>
      <c r="Y9" s="4"/>
      <c r="Z9" s="4"/>
      <c r="AA9" s="4"/>
      <c r="AB9" s="4"/>
      <c r="AC9" s="4">
        <f t="shared" ref="AC9:AI9" si="10">V9*($B9/$B$1)</f>
        <v>0</v>
      </c>
      <c r="AD9" s="4">
        <f t="shared" si="10"/>
        <v>0</v>
      </c>
      <c r="AE9" s="4">
        <f t="shared" si="10"/>
        <v>0</v>
      </c>
      <c r="AF9" s="4">
        <f t="shared" si="10"/>
        <v>0</v>
      </c>
      <c r="AG9" s="4">
        <f t="shared" si="10"/>
        <v>0</v>
      </c>
      <c r="AH9" s="4">
        <f t="shared" si="10"/>
        <v>0</v>
      </c>
      <c r="AI9" s="4">
        <f t="shared" si="10"/>
        <v>0</v>
      </c>
    </row>
    <row r="10">
      <c r="A10" s="31" t="s">
        <v>79</v>
      </c>
      <c r="B10" s="7">
        <v>9.0</v>
      </c>
      <c r="C10" s="4">
        <f>Round((E2/B10*B1),2)</f>
        <v>1577.78</v>
      </c>
      <c r="D10" s="4"/>
      <c r="E10" s="4"/>
      <c r="F10" s="32"/>
      <c r="G10" s="77"/>
      <c r="H10" s="7"/>
      <c r="I10" s="7"/>
      <c r="J10" s="4"/>
      <c r="K10" s="4"/>
      <c r="L10" s="4"/>
      <c r="M10" s="4"/>
      <c r="N10" s="4">
        <f t="shared" ref="N10:T10" si="11">G10*($B10/$B$1)</f>
        <v>0</v>
      </c>
      <c r="O10" s="4">
        <f t="shared" si="11"/>
        <v>0</v>
      </c>
      <c r="P10" s="4">
        <f t="shared" si="11"/>
        <v>0</v>
      </c>
      <c r="Q10" s="4">
        <f t="shared" si="11"/>
        <v>0</v>
      </c>
      <c r="R10" s="4">
        <f t="shared" si="11"/>
        <v>0</v>
      </c>
      <c r="S10" s="4">
        <f t="shared" si="11"/>
        <v>0</v>
      </c>
      <c r="T10" s="32">
        <f t="shared" si="11"/>
        <v>0</v>
      </c>
      <c r="V10" s="78"/>
      <c r="W10" s="7">
        <v>168.0</v>
      </c>
      <c r="X10" s="7"/>
      <c r="Y10" s="4"/>
      <c r="Z10" s="4"/>
      <c r="AA10" s="4"/>
      <c r="AB10" s="4"/>
      <c r="AC10" s="4">
        <f t="shared" ref="AC10:AI10" si="12">V10*($B10/$B$1)</f>
        <v>0</v>
      </c>
      <c r="AD10" s="4">
        <f t="shared" si="12"/>
        <v>15.12</v>
      </c>
      <c r="AE10" s="4">
        <f t="shared" si="12"/>
        <v>0</v>
      </c>
      <c r="AF10" s="4">
        <f t="shared" si="12"/>
        <v>0</v>
      </c>
      <c r="AG10" s="4">
        <f t="shared" si="12"/>
        <v>0</v>
      </c>
      <c r="AH10" s="4">
        <f t="shared" si="12"/>
        <v>0</v>
      </c>
      <c r="AI10" s="4">
        <f t="shared" si="12"/>
        <v>0</v>
      </c>
    </row>
    <row r="11">
      <c r="A11" s="31" t="s">
        <v>80</v>
      </c>
      <c r="B11" s="7">
        <v>7.7</v>
      </c>
      <c r="C11" s="4">
        <f>Round((E2/B11*B1),2)</f>
        <v>1844.16</v>
      </c>
      <c r="D11" s="7">
        <v>60.0</v>
      </c>
      <c r="E11" s="7">
        <v>120.0</v>
      </c>
      <c r="F11" s="32">
        <f>E11/B1*B11</f>
        <v>9.24</v>
      </c>
      <c r="G11" s="34">
        <v>120.0</v>
      </c>
      <c r="H11" s="7">
        <v>120.0</v>
      </c>
      <c r="I11" s="7"/>
      <c r="J11" s="7"/>
      <c r="K11" s="7">
        <v>120.0</v>
      </c>
      <c r="L11" s="7">
        <v>180.0</v>
      </c>
      <c r="M11" s="4"/>
      <c r="N11" s="4">
        <f t="shared" ref="N11:T11" si="13">G11*($B11/$B$1)</f>
        <v>9.24</v>
      </c>
      <c r="O11" s="4">
        <f t="shared" si="13"/>
        <v>9.24</v>
      </c>
      <c r="P11" s="4">
        <f t="shared" si="13"/>
        <v>0</v>
      </c>
      <c r="Q11" s="4">
        <f t="shared" si="13"/>
        <v>0</v>
      </c>
      <c r="R11" s="4">
        <f t="shared" si="13"/>
        <v>9.24</v>
      </c>
      <c r="S11" s="4">
        <f t="shared" si="13"/>
        <v>13.86</v>
      </c>
      <c r="T11" s="32">
        <f t="shared" si="13"/>
        <v>0</v>
      </c>
      <c r="V11" s="31">
        <v>180.0</v>
      </c>
      <c r="W11" s="7">
        <v>60.0</v>
      </c>
      <c r="X11" s="7"/>
      <c r="Y11" s="7"/>
      <c r="Z11" s="7"/>
      <c r="AA11" s="7"/>
      <c r="AB11" s="4"/>
      <c r="AC11" s="4">
        <f t="shared" ref="AC11:AI11" si="14">V11*($B11/$B$1)</f>
        <v>13.86</v>
      </c>
      <c r="AD11" s="4">
        <f t="shared" si="14"/>
        <v>4.62</v>
      </c>
      <c r="AE11" s="4">
        <f t="shared" si="14"/>
        <v>0</v>
      </c>
      <c r="AF11" s="4">
        <f t="shared" si="14"/>
        <v>0</v>
      </c>
      <c r="AG11" s="4">
        <f t="shared" si="14"/>
        <v>0</v>
      </c>
      <c r="AH11" s="4">
        <f t="shared" si="14"/>
        <v>0</v>
      </c>
      <c r="AI11" s="4">
        <f t="shared" si="14"/>
        <v>0</v>
      </c>
    </row>
    <row r="12">
      <c r="A12" s="31" t="s">
        <v>108</v>
      </c>
      <c r="B12" s="7">
        <v>9.0</v>
      </c>
      <c r="C12" s="4">
        <f>Round((E2/B12*B1),2)</f>
        <v>1577.78</v>
      </c>
      <c r="D12" s="7">
        <v>35.0</v>
      </c>
      <c r="E12" s="7">
        <v>35.0</v>
      </c>
      <c r="F12" s="32">
        <f>E12/B1*B12</f>
        <v>3.15</v>
      </c>
      <c r="G12" s="34">
        <v>35.0</v>
      </c>
      <c r="H12" s="7">
        <v>35.0</v>
      </c>
      <c r="I12" s="7">
        <v>35.0</v>
      </c>
      <c r="J12" s="7">
        <v>35.0</v>
      </c>
      <c r="K12" s="4"/>
      <c r="L12" s="7">
        <v>30.0</v>
      </c>
      <c r="M12" s="7">
        <v>30.0</v>
      </c>
      <c r="N12" s="4">
        <f t="shared" ref="N12:T12" si="15">G12*($B12/$B$1)</f>
        <v>3.15</v>
      </c>
      <c r="O12" s="4">
        <f t="shared" si="15"/>
        <v>3.15</v>
      </c>
      <c r="P12" s="4">
        <f t="shared" si="15"/>
        <v>3.15</v>
      </c>
      <c r="Q12" s="4">
        <f t="shared" si="15"/>
        <v>3.15</v>
      </c>
      <c r="R12" s="4">
        <f t="shared" si="15"/>
        <v>0</v>
      </c>
      <c r="S12" s="4">
        <f t="shared" si="15"/>
        <v>2.7</v>
      </c>
      <c r="T12" s="32">
        <f t="shared" si="15"/>
        <v>2.7</v>
      </c>
      <c r="V12" s="31"/>
      <c r="W12" s="7"/>
      <c r="X12" s="7"/>
      <c r="Y12" s="7"/>
      <c r="Z12" s="4"/>
      <c r="AA12" s="7"/>
      <c r="AB12" s="7"/>
      <c r="AC12" s="4">
        <f t="shared" ref="AC12:AI12" si="16">V12*($B12/$B$1)</f>
        <v>0</v>
      </c>
      <c r="AD12" s="4">
        <f t="shared" si="16"/>
        <v>0</v>
      </c>
      <c r="AE12" s="4">
        <f t="shared" si="16"/>
        <v>0</v>
      </c>
      <c r="AF12" s="4">
        <f t="shared" si="16"/>
        <v>0</v>
      </c>
      <c r="AG12" s="4">
        <f t="shared" si="16"/>
        <v>0</v>
      </c>
      <c r="AH12" s="4">
        <f t="shared" si="16"/>
        <v>0</v>
      </c>
      <c r="AI12" s="4">
        <f t="shared" si="16"/>
        <v>0</v>
      </c>
    </row>
    <row r="13">
      <c r="A13" s="31" t="s">
        <v>109</v>
      </c>
      <c r="B13" s="7">
        <v>7.5</v>
      </c>
      <c r="C13" s="4">
        <f>Round((E2/B13*B1),2)</f>
        <v>1893.33</v>
      </c>
      <c r="D13" s="7"/>
      <c r="E13" s="7">
        <v>80.0</v>
      </c>
      <c r="F13" s="32">
        <f>E13/B1*B13</f>
        <v>6</v>
      </c>
      <c r="G13" s="34">
        <v>80.0</v>
      </c>
      <c r="H13" s="7"/>
      <c r="I13" s="7"/>
      <c r="J13" s="7">
        <v>40.0</v>
      </c>
      <c r="K13" s="4"/>
      <c r="L13" s="4"/>
      <c r="M13" s="4"/>
      <c r="N13" s="4">
        <f t="shared" ref="N13:T13" si="17">G13*($B13/$B$1)</f>
        <v>6</v>
      </c>
      <c r="O13" s="4">
        <f t="shared" si="17"/>
        <v>0</v>
      </c>
      <c r="P13" s="4">
        <f t="shared" si="17"/>
        <v>0</v>
      </c>
      <c r="Q13" s="4">
        <f t="shared" si="17"/>
        <v>3</v>
      </c>
      <c r="R13" s="4">
        <f t="shared" si="17"/>
        <v>0</v>
      </c>
      <c r="S13" s="4">
        <f t="shared" si="17"/>
        <v>0</v>
      </c>
      <c r="T13" s="32">
        <f t="shared" si="17"/>
        <v>0</v>
      </c>
      <c r="V13" s="31"/>
      <c r="W13" s="7"/>
      <c r="X13" s="7"/>
      <c r="Y13" s="7"/>
      <c r="Z13" s="4"/>
      <c r="AA13" s="4"/>
      <c r="AB13" s="4"/>
      <c r="AC13" s="4">
        <f t="shared" ref="AC13:AI13" si="18">V13*($B13/$B$1)</f>
        <v>0</v>
      </c>
      <c r="AD13" s="4">
        <f t="shared" si="18"/>
        <v>0</v>
      </c>
      <c r="AE13" s="4">
        <f t="shared" si="18"/>
        <v>0</v>
      </c>
      <c r="AF13" s="4">
        <f t="shared" si="18"/>
        <v>0</v>
      </c>
      <c r="AG13" s="4">
        <f t="shared" si="18"/>
        <v>0</v>
      </c>
      <c r="AH13" s="4">
        <f t="shared" si="18"/>
        <v>0</v>
      </c>
      <c r="AI13" s="4">
        <f t="shared" si="18"/>
        <v>0</v>
      </c>
    </row>
    <row r="14">
      <c r="A14" s="31" t="s">
        <v>110</v>
      </c>
      <c r="B14" s="7">
        <v>25.0</v>
      </c>
      <c r="C14" s="7"/>
      <c r="D14" s="4"/>
      <c r="E14" s="4"/>
      <c r="F14" s="32"/>
      <c r="G14" s="77"/>
      <c r="H14" s="79"/>
      <c r="I14" s="7">
        <v>100.0</v>
      </c>
      <c r="J14" s="4"/>
      <c r="K14" s="4"/>
      <c r="L14" s="4"/>
      <c r="M14" s="4"/>
      <c r="N14" s="4">
        <f t="shared" ref="N14:T14" si="19">G14*($B14/$B$1)</f>
        <v>0</v>
      </c>
      <c r="O14" s="4">
        <f t="shared" si="19"/>
        <v>0</v>
      </c>
      <c r="P14" s="4">
        <f t="shared" si="19"/>
        <v>25</v>
      </c>
      <c r="Q14" s="4">
        <f t="shared" si="19"/>
        <v>0</v>
      </c>
      <c r="R14" s="4">
        <f t="shared" si="19"/>
        <v>0</v>
      </c>
      <c r="S14" s="4">
        <f t="shared" si="19"/>
        <v>0</v>
      </c>
      <c r="T14" s="32">
        <f t="shared" si="19"/>
        <v>0</v>
      </c>
      <c r="V14" s="78"/>
      <c r="W14" s="79"/>
      <c r="X14" s="7"/>
      <c r="Y14" s="4"/>
      <c r="Z14" s="4"/>
      <c r="AA14" s="4"/>
      <c r="AB14" s="4"/>
      <c r="AC14" s="4">
        <f t="shared" ref="AC14:AI14" si="20">V14*($B14/$B$1)</f>
        <v>0</v>
      </c>
      <c r="AD14" s="4">
        <f t="shared" si="20"/>
        <v>0</v>
      </c>
      <c r="AE14" s="4">
        <f t="shared" si="20"/>
        <v>0</v>
      </c>
      <c r="AF14" s="4">
        <f t="shared" si="20"/>
        <v>0</v>
      </c>
      <c r="AG14" s="4">
        <f t="shared" si="20"/>
        <v>0</v>
      </c>
      <c r="AH14" s="4">
        <f t="shared" si="20"/>
        <v>0</v>
      </c>
      <c r="AI14" s="4">
        <f t="shared" si="20"/>
        <v>0</v>
      </c>
    </row>
    <row r="15">
      <c r="A15" s="31" t="s">
        <v>111</v>
      </c>
      <c r="B15" s="7">
        <v>25.0</v>
      </c>
      <c r="C15" s="4">
        <f>Round((E2/B15*B1),2)</f>
        <v>568</v>
      </c>
      <c r="D15" s="7">
        <v>40.0</v>
      </c>
      <c r="E15" s="7">
        <v>80.0</v>
      </c>
      <c r="F15" s="32">
        <f>E15/B1*B15</f>
        <v>20</v>
      </c>
      <c r="G15" s="34">
        <v>80.0</v>
      </c>
      <c r="H15" s="7">
        <v>80.0</v>
      </c>
      <c r="I15" s="7"/>
      <c r="J15" s="7">
        <v>40.0</v>
      </c>
      <c r="K15" s="7">
        <v>100.0</v>
      </c>
      <c r="L15" s="7">
        <v>80.0</v>
      </c>
      <c r="M15" s="4"/>
      <c r="N15" s="4">
        <f t="shared" ref="N15:T15" si="21">G15*($B15/$B$1)</f>
        <v>20</v>
      </c>
      <c r="O15" s="4">
        <f t="shared" si="21"/>
        <v>20</v>
      </c>
      <c r="P15" s="4">
        <f t="shared" si="21"/>
        <v>0</v>
      </c>
      <c r="Q15" s="4">
        <f t="shared" si="21"/>
        <v>10</v>
      </c>
      <c r="R15" s="4">
        <f t="shared" si="21"/>
        <v>25</v>
      </c>
      <c r="S15" s="4">
        <f t="shared" si="21"/>
        <v>20</v>
      </c>
      <c r="T15" s="32">
        <f t="shared" si="21"/>
        <v>0</v>
      </c>
      <c r="V15" s="31"/>
      <c r="W15" s="7">
        <v>40.0</v>
      </c>
      <c r="X15" s="7"/>
      <c r="Y15" s="7"/>
      <c r="Z15" s="7"/>
      <c r="AA15" s="7"/>
      <c r="AB15" s="4"/>
      <c r="AC15" s="4">
        <f t="shared" ref="AC15:AI15" si="22">V15*($B15/$B$1)</f>
        <v>0</v>
      </c>
      <c r="AD15" s="4">
        <f t="shared" si="22"/>
        <v>10</v>
      </c>
      <c r="AE15" s="4">
        <f t="shared" si="22"/>
        <v>0</v>
      </c>
      <c r="AF15" s="4">
        <f t="shared" si="22"/>
        <v>0</v>
      </c>
      <c r="AG15" s="4">
        <f t="shared" si="22"/>
        <v>0</v>
      </c>
      <c r="AH15" s="4">
        <f t="shared" si="22"/>
        <v>0</v>
      </c>
      <c r="AI15" s="4">
        <f t="shared" si="22"/>
        <v>0</v>
      </c>
    </row>
    <row r="16">
      <c r="A16" s="82" t="s">
        <v>155</v>
      </c>
      <c r="B16" s="83">
        <v>24.0</v>
      </c>
      <c r="C16" s="84">
        <f>Round((E2/B16*B1),2)</f>
        <v>591.67</v>
      </c>
      <c r="D16" s="83">
        <v>40.0</v>
      </c>
      <c r="E16" s="83">
        <v>40.0</v>
      </c>
      <c r="F16" s="85">
        <f>E16/B1*B16</f>
        <v>9.6</v>
      </c>
      <c r="G16" s="86">
        <v>50.0</v>
      </c>
      <c r="H16" s="83">
        <v>50.0</v>
      </c>
      <c r="I16" s="83">
        <v>70.0</v>
      </c>
      <c r="J16" s="83">
        <v>80.0</v>
      </c>
      <c r="K16" s="84"/>
      <c r="L16" s="83">
        <v>70.0</v>
      </c>
      <c r="M16" s="83">
        <v>70.0</v>
      </c>
      <c r="N16" s="84">
        <f t="shared" ref="N16:T16" si="23">G16*($B16/$B$1)</f>
        <v>12</v>
      </c>
      <c r="O16" s="84">
        <f t="shared" si="23"/>
        <v>12</v>
      </c>
      <c r="P16" s="84">
        <f t="shared" si="23"/>
        <v>16.8</v>
      </c>
      <c r="Q16" s="84">
        <f t="shared" si="23"/>
        <v>19.2</v>
      </c>
      <c r="R16" s="84">
        <f t="shared" si="23"/>
        <v>0</v>
      </c>
      <c r="S16" s="84">
        <f t="shared" si="23"/>
        <v>16.8</v>
      </c>
      <c r="T16" s="85">
        <f t="shared" si="23"/>
        <v>16.8</v>
      </c>
      <c r="V16" s="82">
        <v>70.0</v>
      </c>
      <c r="W16" s="83">
        <v>90.0</v>
      </c>
      <c r="X16" s="84"/>
      <c r="Y16" s="84"/>
      <c r="Z16" s="84"/>
      <c r="AA16" s="84"/>
      <c r="AB16" s="84"/>
      <c r="AC16" s="84">
        <f t="shared" ref="AC16:AI16" si="24">V16*($B16/$B$1)</f>
        <v>16.8</v>
      </c>
      <c r="AD16" s="84">
        <f t="shared" si="24"/>
        <v>21.6</v>
      </c>
      <c r="AE16" s="84">
        <f t="shared" si="24"/>
        <v>0</v>
      </c>
      <c r="AF16" s="84">
        <f t="shared" si="24"/>
        <v>0</v>
      </c>
      <c r="AG16" s="84">
        <f t="shared" si="24"/>
        <v>0</v>
      </c>
      <c r="AH16" s="84">
        <f t="shared" si="24"/>
        <v>0</v>
      </c>
      <c r="AI16" s="84">
        <f t="shared" si="24"/>
        <v>0</v>
      </c>
    </row>
    <row r="17">
      <c r="P17" s="62"/>
      <c r="Q17" s="62"/>
    </row>
    <row r="18">
      <c r="P18" s="62"/>
      <c r="Q18" s="62"/>
    </row>
    <row r="19">
      <c r="P19" s="62"/>
      <c r="Q19" s="62"/>
    </row>
    <row r="20">
      <c r="P20" s="62"/>
      <c r="Q20" s="62"/>
    </row>
    <row r="21">
      <c r="P21" s="62"/>
      <c r="Q21" s="62"/>
    </row>
    <row r="22">
      <c r="P22" s="62"/>
      <c r="Q22" s="62"/>
    </row>
    <row r="23">
      <c r="P23" s="62"/>
      <c r="Q23" s="62"/>
    </row>
    <row r="24">
      <c r="P24" s="62"/>
      <c r="Q24" s="62"/>
    </row>
    <row r="25">
      <c r="A25" s="87" t="s">
        <v>157</v>
      </c>
      <c r="B25" s="88"/>
      <c r="C25" s="88"/>
      <c r="D25" s="88"/>
      <c r="E25" s="88"/>
      <c r="F25" s="89">
        <f>sum(F5:F16)</f>
        <v>113.49</v>
      </c>
      <c r="G25" s="88"/>
      <c r="H25" s="88"/>
      <c r="I25" s="88"/>
      <c r="J25" s="88"/>
      <c r="K25" s="88"/>
      <c r="L25" s="88"/>
      <c r="M25" s="88"/>
      <c r="N25" s="88">
        <f t="shared" ref="N25:T25" si="25">round(sum(N5:N24),2)</f>
        <v>75.67</v>
      </c>
      <c r="O25" s="88">
        <f t="shared" si="25"/>
        <v>92.39</v>
      </c>
      <c r="P25" s="88">
        <f t="shared" si="25"/>
        <v>76.95</v>
      </c>
      <c r="Q25" s="88">
        <f t="shared" si="25"/>
        <v>90.35</v>
      </c>
      <c r="R25" s="88">
        <f t="shared" si="25"/>
        <v>85.44</v>
      </c>
      <c r="S25" s="88">
        <f t="shared" si="25"/>
        <v>101.36</v>
      </c>
      <c r="T25" s="90">
        <f t="shared" si="25"/>
        <v>51.5</v>
      </c>
      <c r="V25" s="91"/>
      <c r="W25" s="88"/>
      <c r="X25" s="88"/>
      <c r="Y25" s="88"/>
      <c r="Z25" s="88"/>
      <c r="AA25" s="88"/>
      <c r="AB25" s="88"/>
      <c r="AC25" s="88">
        <f t="shared" ref="AC25:AI25" si="26">ROUND(SUM(AC5:AC24),2)</f>
        <v>62.66</v>
      </c>
      <c r="AD25" s="88">
        <f t="shared" si="26"/>
        <v>75.34</v>
      </c>
      <c r="AE25" s="88">
        <f t="shared" si="26"/>
        <v>0</v>
      </c>
      <c r="AF25" s="88">
        <f t="shared" si="26"/>
        <v>0</v>
      </c>
      <c r="AG25" s="88">
        <f t="shared" si="26"/>
        <v>0</v>
      </c>
      <c r="AH25" s="88">
        <f t="shared" si="26"/>
        <v>0</v>
      </c>
      <c r="AI25" s="90">
        <f t="shared" si="26"/>
        <v>0</v>
      </c>
    </row>
    <row r="26">
      <c r="P26" s="62"/>
      <c r="Q26" s="62"/>
    </row>
    <row r="27">
      <c r="P27" s="62"/>
      <c r="Q27" s="62"/>
    </row>
    <row r="28">
      <c r="P28" s="62"/>
      <c r="Q28" s="62"/>
    </row>
    <row r="29">
      <c r="P29" s="62"/>
      <c r="Q29" s="62"/>
    </row>
    <row r="30">
      <c r="P30" s="62"/>
      <c r="Q30" s="62"/>
    </row>
    <row r="31">
      <c r="C31" s="10" t="s">
        <v>160</v>
      </c>
      <c r="D31" s="10" t="s">
        <v>161</v>
      </c>
      <c r="E31" s="10" t="s">
        <v>162</v>
      </c>
      <c r="P31" s="62"/>
      <c r="Q31" s="62"/>
    </row>
    <row r="32">
      <c r="B32" s="10" t="s">
        <v>163</v>
      </c>
      <c r="C32" s="92">
        <f>E2*(3/6)</f>
        <v>71</v>
      </c>
      <c r="D32" s="92">
        <f>ROUND(E2*(2/6),0)</f>
        <v>47</v>
      </c>
      <c r="E32" s="92">
        <f>ROUND(E2*(1/6),0)</f>
        <v>24</v>
      </c>
      <c r="P32" s="62"/>
      <c r="Q32" s="62"/>
    </row>
    <row r="33">
      <c r="P33" s="62"/>
      <c r="Q33" s="62"/>
    </row>
    <row r="34">
      <c r="P34" s="62"/>
      <c r="Q34" s="62"/>
    </row>
    <row r="35">
      <c r="P35" s="62"/>
      <c r="Q35" s="62"/>
    </row>
    <row r="36">
      <c r="P36" s="62"/>
      <c r="Q36" s="62"/>
    </row>
    <row r="37">
      <c r="P37" s="62"/>
      <c r="Q37" s="62"/>
    </row>
    <row r="38">
      <c r="P38" s="62"/>
      <c r="Q38" s="62"/>
    </row>
    <row r="39" ht="1.5" customHeight="1">
      <c r="P39" s="62"/>
      <c r="Q39" s="62"/>
    </row>
    <row r="40">
      <c r="P40" s="62"/>
      <c r="Q40" s="62"/>
    </row>
    <row r="41" ht="1.5" customHeight="1">
      <c r="P41" s="62"/>
      <c r="Q41" s="62"/>
    </row>
    <row r="42">
      <c r="C42" s="94" t="s">
        <v>166</v>
      </c>
      <c r="P42" s="62"/>
      <c r="Q42" s="62"/>
    </row>
    <row r="43">
      <c r="B43" s="95"/>
      <c r="P43" s="62"/>
      <c r="Q43" s="62"/>
    </row>
    <row r="44">
      <c r="P44" s="62"/>
      <c r="Q44" s="62"/>
    </row>
    <row r="45">
      <c r="P45" s="62"/>
      <c r="Q45" s="62"/>
    </row>
    <row r="46">
      <c r="P46" s="62"/>
      <c r="Q46" s="62"/>
    </row>
    <row r="47">
      <c r="P47" s="62"/>
      <c r="Q47" s="62"/>
    </row>
    <row r="48">
      <c r="P48" s="62"/>
      <c r="Q48" s="62"/>
    </row>
    <row r="49">
      <c r="P49" s="62"/>
      <c r="Q49" s="62"/>
    </row>
    <row r="50">
      <c r="P50" s="62"/>
      <c r="Q50" s="62"/>
    </row>
    <row r="51">
      <c r="P51" s="62"/>
      <c r="Q51" s="62"/>
    </row>
    <row r="52">
      <c r="P52" s="62"/>
      <c r="Q52" s="62"/>
    </row>
    <row r="53">
      <c r="P53" s="62"/>
      <c r="Q53" s="62"/>
    </row>
    <row r="54">
      <c r="P54" s="62"/>
      <c r="Q54" s="62"/>
    </row>
    <row r="55">
      <c r="P55" s="62"/>
      <c r="Q55" s="62"/>
    </row>
    <row r="56">
      <c r="P56" s="62"/>
      <c r="Q56" s="62"/>
    </row>
    <row r="57">
      <c r="P57" s="62"/>
      <c r="Q57" s="62"/>
    </row>
    <row r="58">
      <c r="P58" s="62"/>
      <c r="Q58" s="62"/>
    </row>
    <row r="59">
      <c r="P59" s="62"/>
      <c r="Q59" s="62"/>
    </row>
    <row r="60">
      <c r="P60" s="62"/>
      <c r="Q60" s="62"/>
    </row>
    <row r="61">
      <c r="P61" s="62"/>
      <c r="Q61" s="62"/>
    </row>
    <row r="62">
      <c r="P62" s="62"/>
      <c r="Q62" s="62"/>
    </row>
    <row r="63">
      <c r="P63" s="62"/>
      <c r="Q63" s="62"/>
    </row>
    <row r="64">
      <c r="P64" s="62"/>
      <c r="Q64" s="62"/>
    </row>
    <row r="65">
      <c r="P65" s="62"/>
      <c r="Q65" s="62"/>
    </row>
    <row r="66">
      <c r="P66" s="62"/>
      <c r="Q66" s="62"/>
    </row>
    <row r="67">
      <c r="P67" s="62"/>
      <c r="Q67" s="62"/>
    </row>
    <row r="68">
      <c r="P68" s="62"/>
      <c r="Q68" s="62"/>
    </row>
    <row r="69">
      <c r="P69" s="62"/>
      <c r="Q69" s="62"/>
    </row>
    <row r="70">
      <c r="P70" s="62"/>
      <c r="Q70" s="62"/>
    </row>
    <row r="71">
      <c r="P71" s="62"/>
      <c r="Q71" s="62"/>
    </row>
    <row r="72">
      <c r="P72" s="62"/>
      <c r="Q72" s="62"/>
    </row>
    <row r="73">
      <c r="P73" s="62"/>
      <c r="Q73" s="62"/>
    </row>
    <row r="74">
      <c r="P74" s="62"/>
      <c r="Q74" s="62"/>
    </row>
    <row r="75">
      <c r="P75" s="62"/>
      <c r="Q75" s="62"/>
    </row>
    <row r="76">
      <c r="P76" s="62"/>
      <c r="Q76" s="62"/>
    </row>
    <row r="77">
      <c r="P77" s="62"/>
      <c r="Q77" s="62"/>
    </row>
    <row r="78">
      <c r="P78" s="62"/>
      <c r="Q78" s="62"/>
    </row>
    <row r="79">
      <c r="P79" s="62"/>
      <c r="Q79" s="62"/>
    </row>
    <row r="80">
      <c r="P80" s="62"/>
      <c r="Q80" s="62"/>
    </row>
    <row r="81">
      <c r="P81" s="62"/>
      <c r="Q81" s="62"/>
    </row>
    <row r="82">
      <c r="P82" s="62"/>
      <c r="Q82" s="62"/>
    </row>
    <row r="83">
      <c r="P83" s="62"/>
      <c r="Q83" s="62"/>
    </row>
    <row r="84">
      <c r="P84" s="62"/>
      <c r="Q84" s="62"/>
    </row>
    <row r="85">
      <c r="P85" s="62"/>
      <c r="Q85" s="62"/>
    </row>
    <row r="86">
      <c r="P86" s="62"/>
      <c r="Q86" s="62"/>
    </row>
    <row r="87">
      <c r="P87" s="62"/>
      <c r="Q87" s="62"/>
    </row>
    <row r="88">
      <c r="P88" s="62"/>
      <c r="Q88" s="62"/>
    </row>
    <row r="89">
      <c r="P89" s="62"/>
      <c r="Q89" s="62"/>
    </row>
    <row r="90">
      <c r="P90" s="62"/>
      <c r="Q90" s="62"/>
    </row>
    <row r="91">
      <c r="P91" s="62"/>
      <c r="Q91" s="62"/>
    </row>
    <row r="92">
      <c r="P92" s="62"/>
      <c r="Q92" s="62"/>
    </row>
    <row r="93">
      <c r="P93" s="62"/>
      <c r="Q93" s="62"/>
    </row>
    <row r="94">
      <c r="P94" s="62"/>
      <c r="Q94" s="62"/>
    </row>
    <row r="95">
      <c r="P95" s="62"/>
      <c r="Q95" s="62"/>
    </row>
    <row r="96">
      <c r="P96" s="62"/>
      <c r="Q96" s="62"/>
    </row>
    <row r="97">
      <c r="P97" s="62"/>
      <c r="Q97" s="62"/>
    </row>
    <row r="98">
      <c r="P98" s="62"/>
      <c r="Q98" s="62"/>
    </row>
    <row r="99">
      <c r="P99" s="62"/>
      <c r="Q99" s="62"/>
    </row>
    <row r="100">
      <c r="P100" s="62"/>
      <c r="Q100" s="62"/>
    </row>
    <row r="101">
      <c r="P101" s="62"/>
      <c r="Q101" s="62"/>
    </row>
    <row r="102">
      <c r="P102" s="62"/>
      <c r="Q102" s="62"/>
    </row>
    <row r="103">
      <c r="P103" s="62"/>
      <c r="Q103" s="62"/>
    </row>
    <row r="104">
      <c r="P104" s="62"/>
      <c r="Q104" s="62"/>
    </row>
    <row r="105">
      <c r="P105" s="62"/>
      <c r="Q105" s="62"/>
    </row>
    <row r="106">
      <c r="P106" s="62"/>
      <c r="Q106" s="62"/>
    </row>
    <row r="107">
      <c r="P107" s="62"/>
      <c r="Q107" s="62"/>
    </row>
    <row r="108">
      <c r="P108" s="62"/>
      <c r="Q108" s="62"/>
    </row>
    <row r="109">
      <c r="P109" s="62"/>
      <c r="Q109" s="62"/>
    </row>
    <row r="110">
      <c r="C110" s="10" t="s">
        <v>193</v>
      </c>
      <c r="P110" s="62"/>
      <c r="Q110" s="62"/>
    </row>
    <row r="111">
      <c r="P111" s="62"/>
      <c r="Q111" s="62"/>
    </row>
    <row r="112">
      <c r="P112" s="62"/>
      <c r="Q112" s="62"/>
    </row>
    <row r="113">
      <c r="P113" s="62"/>
      <c r="Q113" s="62"/>
    </row>
    <row r="114">
      <c r="P114" s="62"/>
      <c r="Q114" s="62"/>
    </row>
    <row r="115">
      <c r="P115" s="62"/>
      <c r="Q115" s="62"/>
    </row>
    <row r="116">
      <c r="P116" s="62"/>
      <c r="Q116" s="62"/>
    </row>
    <row r="117">
      <c r="G117" s="100" t="s">
        <v>205</v>
      </c>
      <c r="H117" s="101"/>
      <c r="I117" s="101"/>
      <c r="J117" s="102"/>
      <c r="O117" s="103" t="s">
        <v>212</v>
      </c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39"/>
    </row>
    <row r="118">
      <c r="B118" s="105" t="s">
        <v>223</v>
      </c>
      <c r="C118" s="106" t="s">
        <v>226</v>
      </c>
      <c r="G118" s="33" t="s">
        <v>67</v>
      </c>
      <c r="H118" s="33" t="s">
        <v>68</v>
      </c>
      <c r="I118" s="33" t="s">
        <v>70</v>
      </c>
      <c r="J118" s="33" t="s">
        <v>71</v>
      </c>
      <c r="O118" s="107"/>
      <c r="P118" s="62"/>
      <c r="AA118" s="12"/>
    </row>
    <row r="119">
      <c r="B119" s="51" t="s">
        <v>58</v>
      </c>
      <c r="C119" s="108">
        <v>500.0</v>
      </c>
      <c r="G119" s="109">
        <f>SUM(Q125,T125,W125,Z125,Q134,T134,W134,T143,W143,Z143,Q152,T152,W152,Z152)</f>
        <v>90.66</v>
      </c>
      <c r="H119" s="109">
        <f>SUM(Q122,T122,W122,Z122,Q131,T131,W131,T140,W140,Z140,Q149,T149,W149,Z149)</f>
        <v>1861.29</v>
      </c>
      <c r="I119" s="109">
        <f>SUM(Q123,T123,W123,Z123,Q132,T132,W132,T141,W141,T150,Z141,Q150,W150,Z150)</f>
        <v>101.16</v>
      </c>
      <c r="J119" s="109">
        <f>SUM(Q124,T124,W124,Z124,Q133,T133,W133,T142,W142,Z142,Q151,T151,W151,Z151)</f>
        <v>153.5</v>
      </c>
      <c r="O119" s="110"/>
      <c r="P119" s="33" t="s">
        <v>58</v>
      </c>
      <c r="S119" s="33" t="s">
        <v>60</v>
      </c>
      <c r="V119" s="33" t="s">
        <v>61</v>
      </c>
      <c r="Y119" s="33" t="s">
        <v>62</v>
      </c>
      <c r="AA119" s="111"/>
    </row>
    <row r="120">
      <c r="B120" s="51" t="s">
        <v>60</v>
      </c>
      <c r="C120" s="112"/>
      <c r="O120" s="110"/>
      <c r="P120" s="35"/>
      <c r="S120" s="35"/>
      <c r="V120" s="35"/>
      <c r="Y120" s="35"/>
      <c r="AA120" s="111"/>
    </row>
    <row r="121">
      <c r="B121" s="51" t="s">
        <v>61</v>
      </c>
      <c r="C121" s="112"/>
      <c r="O121" s="110"/>
      <c r="P121" s="37" t="s">
        <v>269</v>
      </c>
      <c r="Q121" s="39"/>
      <c r="S121" s="37" t="s">
        <v>269</v>
      </c>
      <c r="T121" s="39"/>
      <c r="V121" s="37" t="s">
        <v>269</v>
      </c>
      <c r="W121" s="39"/>
      <c r="Y121" s="37" t="s">
        <v>269</v>
      </c>
      <c r="Z121" s="39"/>
      <c r="AA121" s="111"/>
    </row>
    <row r="122">
      <c r="B122" s="51" t="s">
        <v>62</v>
      </c>
      <c r="C122" s="112">
        <v>244.0</v>
      </c>
      <c r="O122" s="110"/>
      <c r="P122" s="42" t="s">
        <v>73</v>
      </c>
      <c r="Q122" s="42">
        <f>('Food profiles'!C5/100)*C119</f>
        <v>435</v>
      </c>
      <c r="S122" s="42" t="s">
        <v>73</v>
      </c>
      <c r="T122" s="42">
        <f>('Food profiles'!F5/100)*$C$120</f>
        <v>0</v>
      </c>
      <c r="V122" s="42" t="s">
        <v>73</v>
      </c>
      <c r="W122" s="42">
        <f>('Food profiles'!I5/100)*$C$121</f>
        <v>0</v>
      </c>
      <c r="Y122" s="42" t="s">
        <v>73</v>
      </c>
      <c r="Z122" s="42">
        <f>('Food profiles'!L5/100)*$C$122</f>
        <v>758.84</v>
      </c>
      <c r="AA122" s="111"/>
    </row>
    <row r="123">
      <c r="B123" s="51" t="s">
        <v>78</v>
      </c>
      <c r="C123" s="112"/>
      <c r="O123" s="110"/>
      <c r="P123" s="33" t="s">
        <v>74</v>
      </c>
      <c r="Q123" s="33">
        <f>('Food profiles'!C6/100)*C119</f>
        <v>30</v>
      </c>
      <c r="S123" s="33" t="s">
        <v>74</v>
      </c>
      <c r="T123" s="33">
        <f>('Food profiles'!F6/100)*$C$120</f>
        <v>0</v>
      </c>
      <c r="V123" s="33" t="s">
        <v>74</v>
      </c>
      <c r="W123" s="33">
        <f>('Food profiles'!I6/100)*$C$121</f>
        <v>0</v>
      </c>
      <c r="Y123" s="33" t="s">
        <v>74</v>
      </c>
      <c r="Z123" s="33">
        <f>('Food profiles'!L6/100)*$C$122</f>
        <v>61</v>
      </c>
      <c r="AA123" s="111"/>
    </row>
    <row r="124">
      <c r="B124" s="51" t="s">
        <v>79</v>
      </c>
      <c r="C124" s="112"/>
      <c r="F124" s="38"/>
      <c r="G124" s="40" t="s">
        <v>67</v>
      </c>
      <c r="H124" s="40" t="s">
        <v>68</v>
      </c>
      <c r="I124" s="40" t="s">
        <v>70</v>
      </c>
      <c r="J124" s="40" t="s">
        <v>71</v>
      </c>
      <c r="O124" s="110"/>
      <c r="P124" s="33" t="s">
        <v>75</v>
      </c>
      <c r="Q124" s="33">
        <f>('Food profiles'!C7/100)*C119</f>
        <v>25</v>
      </c>
      <c r="S124" s="33" t="s">
        <v>75</v>
      </c>
      <c r="T124" s="33">
        <f>('Food profiles'!F7/100)*$C$120</f>
        <v>0</v>
      </c>
      <c r="V124" s="33" t="s">
        <v>75</v>
      </c>
      <c r="W124" s="33">
        <f>('Food profiles'!I7/100)*$C$121</f>
        <v>0</v>
      </c>
      <c r="Y124" s="33" t="s">
        <v>75</v>
      </c>
      <c r="Z124" s="33">
        <f>('Food profiles'!L7/100)*$C$122</f>
        <v>6.1</v>
      </c>
      <c r="AA124" s="111"/>
    </row>
    <row r="125">
      <c r="B125" s="51" t="s">
        <v>80</v>
      </c>
      <c r="C125" s="112">
        <v>80.0</v>
      </c>
      <c r="F125" s="40" t="s">
        <v>72</v>
      </c>
      <c r="G125" s="41">
        <v>157.0</v>
      </c>
      <c r="H125" s="43">
        <v>2800.0</v>
      </c>
      <c r="I125" s="43">
        <v>90.0</v>
      </c>
      <c r="J125" s="44">
        <v>290.0</v>
      </c>
      <c r="O125" s="110"/>
      <c r="P125" s="33" t="s">
        <v>77</v>
      </c>
      <c r="Q125" s="33">
        <f>('Food profiles'!C8/100)*C119</f>
        <v>16</v>
      </c>
      <c r="S125" s="33" t="s">
        <v>77</v>
      </c>
      <c r="T125" s="33">
        <f>('Food profiles'!F8/100)*$C$120</f>
        <v>0</v>
      </c>
      <c r="V125" s="33" t="s">
        <v>77</v>
      </c>
      <c r="W125" s="33">
        <f>('Food profiles'!I8/100)*$C$121</f>
        <v>0</v>
      </c>
      <c r="Y125" s="33" t="s">
        <v>77</v>
      </c>
      <c r="Z125" s="33">
        <f>('Food profiles'!L8/100)*$C$122</f>
        <v>46.36</v>
      </c>
      <c r="AA125" s="111"/>
    </row>
    <row r="126">
      <c r="B126" s="66" t="s">
        <v>85</v>
      </c>
      <c r="C126" s="112">
        <v>55.0</v>
      </c>
      <c r="F126" s="45" t="s">
        <v>76</v>
      </c>
      <c r="G126" s="113">
        <f t="shared" ref="G126:J126" si="27">G125-G119</f>
        <v>66.34</v>
      </c>
      <c r="H126" s="114">
        <f t="shared" si="27"/>
        <v>938.71</v>
      </c>
      <c r="I126" s="114">
        <f t="shared" si="27"/>
        <v>-11.16</v>
      </c>
      <c r="J126" s="115">
        <f t="shared" si="27"/>
        <v>136.5</v>
      </c>
      <c r="O126" s="110"/>
      <c r="P126" s="62"/>
      <c r="Q126" s="62"/>
      <c r="AA126" s="111"/>
    </row>
    <row r="127">
      <c r="B127" s="116" t="s">
        <v>87</v>
      </c>
      <c r="C127" s="112"/>
      <c r="F127" s="55"/>
      <c r="G127" s="56"/>
      <c r="H127" s="57"/>
      <c r="I127" s="57"/>
      <c r="J127" s="58"/>
      <c r="O127" s="110"/>
      <c r="P127" s="62"/>
      <c r="Q127" s="62"/>
      <c r="AA127" s="111"/>
    </row>
    <row r="128">
      <c r="B128" s="117" t="s">
        <v>88</v>
      </c>
      <c r="C128" s="112">
        <v>200.0</v>
      </c>
      <c r="O128" s="110"/>
      <c r="P128" s="33" t="s">
        <v>78</v>
      </c>
      <c r="S128" s="33" t="s">
        <v>79</v>
      </c>
      <c r="V128" s="33" t="s">
        <v>80</v>
      </c>
      <c r="AA128" s="111"/>
    </row>
    <row r="129">
      <c r="B129" s="117" t="s">
        <v>90</v>
      </c>
      <c r="C129" s="112"/>
      <c r="O129" s="110"/>
      <c r="P129" s="35"/>
      <c r="S129" s="35"/>
      <c r="V129" s="35"/>
      <c r="AA129" s="111"/>
    </row>
    <row r="130">
      <c r="B130" s="51" t="s">
        <v>270</v>
      </c>
      <c r="C130" s="112"/>
      <c r="O130" s="110"/>
      <c r="P130" s="37" t="s">
        <v>269</v>
      </c>
      <c r="Q130" s="39"/>
      <c r="S130" s="37" t="s">
        <v>269</v>
      </c>
      <c r="T130" s="39"/>
      <c r="V130" s="37" t="s">
        <v>269</v>
      </c>
      <c r="W130" s="39"/>
      <c r="AA130" s="111"/>
    </row>
    <row r="131">
      <c r="B131" s="51" t="s">
        <v>92</v>
      </c>
      <c r="C131" s="118"/>
      <c r="O131" s="110"/>
      <c r="P131" s="42" t="s">
        <v>73</v>
      </c>
      <c r="Q131" s="42">
        <f>('Food profiles'!C14/100)*$C$123</f>
        <v>0</v>
      </c>
      <c r="S131" s="42" t="s">
        <v>73</v>
      </c>
      <c r="T131" s="42">
        <f>('Food profiles'!F14/100)*$C$124</f>
        <v>0</v>
      </c>
      <c r="V131" s="42" t="s">
        <v>73</v>
      </c>
      <c r="W131" s="42">
        <f>('Food profiles'!I14/100)*$C$125</f>
        <v>188</v>
      </c>
      <c r="AA131" s="111"/>
    </row>
    <row r="132">
      <c r="B132" s="119" t="s">
        <v>93</v>
      </c>
      <c r="C132" s="120"/>
      <c r="O132" s="110"/>
      <c r="P132" s="33" t="s">
        <v>74</v>
      </c>
      <c r="Q132" s="33">
        <f>('Food profiles'!C15/100)*$C$123</f>
        <v>0</v>
      </c>
      <c r="S132" s="33" t="s">
        <v>74</v>
      </c>
      <c r="T132" s="33">
        <f>('Food profiles'!F15/100)*$C$124</f>
        <v>0</v>
      </c>
      <c r="V132" s="33" t="s">
        <v>74</v>
      </c>
      <c r="W132" s="33">
        <f>('Food profiles'!I15/100)*$C$125</f>
        <v>0.96</v>
      </c>
      <c r="AA132" s="111"/>
    </row>
    <row r="133">
      <c r="O133" s="110"/>
      <c r="P133" s="33" t="s">
        <v>75</v>
      </c>
      <c r="Q133" s="33">
        <f>('Food profiles'!C16/100)*$C$123</f>
        <v>0</v>
      </c>
      <c r="S133" s="33" t="s">
        <v>75</v>
      </c>
      <c r="T133" s="33">
        <f>('Food profiles'!F16/100)*$C$124</f>
        <v>0</v>
      </c>
      <c r="V133" s="33" t="s">
        <v>75</v>
      </c>
      <c r="W133" s="33">
        <f>('Food profiles'!I16/100)*$C$125</f>
        <v>40</v>
      </c>
      <c r="AA133" s="111"/>
    </row>
    <row r="134">
      <c r="O134" s="110"/>
      <c r="P134" s="33" t="s">
        <v>77</v>
      </c>
      <c r="Q134" s="33">
        <f>('Food profiles'!C17/100)*$C$123</f>
        <v>0</v>
      </c>
      <c r="S134" s="33" t="s">
        <v>77</v>
      </c>
      <c r="T134" s="33">
        <f>('Food profiles'!F17/100)*$C$124</f>
        <v>0</v>
      </c>
      <c r="V134" s="33" t="s">
        <v>77</v>
      </c>
      <c r="W134" s="33">
        <f>('Food profiles'!I17/100)*$C$125</f>
        <v>6.4</v>
      </c>
      <c r="AA134" s="111"/>
    </row>
    <row r="135">
      <c r="O135" s="110"/>
      <c r="P135" s="62"/>
      <c r="Q135" s="62"/>
      <c r="AA135" s="111"/>
    </row>
    <row r="136">
      <c r="O136" s="110"/>
      <c r="P136" s="62"/>
      <c r="Q136" s="62"/>
      <c r="AA136" s="111"/>
    </row>
    <row r="137">
      <c r="O137" s="110"/>
      <c r="P137" s="62"/>
      <c r="Q137" s="62"/>
      <c r="S137" s="33" t="s">
        <v>111</v>
      </c>
      <c r="V137" s="33" t="s">
        <v>155</v>
      </c>
      <c r="Y137" s="33" t="s">
        <v>88</v>
      </c>
      <c r="AA137" s="111"/>
    </row>
    <row r="138">
      <c r="O138" s="110"/>
      <c r="P138" s="62"/>
      <c r="Q138" s="62"/>
      <c r="S138" s="35"/>
      <c r="V138" s="35"/>
      <c r="Y138" s="35"/>
      <c r="AA138" s="111"/>
    </row>
    <row r="139">
      <c r="O139" s="110"/>
      <c r="P139" s="62"/>
      <c r="Q139" s="62"/>
      <c r="S139" s="37" t="s">
        <v>269</v>
      </c>
      <c r="T139" s="39"/>
      <c r="V139" s="37" t="s">
        <v>269</v>
      </c>
      <c r="W139" s="39"/>
      <c r="Y139" s="37" t="s">
        <v>269</v>
      </c>
      <c r="Z139" s="39"/>
      <c r="AA139" s="111"/>
    </row>
    <row r="140">
      <c r="O140" s="110"/>
      <c r="P140" s="62"/>
      <c r="Q140" s="62"/>
      <c r="S140" s="42" t="s">
        <v>73</v>
      </c>
      <c r="T140" s="42">
        <f>('Food profiles'!F23/100)*$C$126</f>
        <v>219.45</v>
      </c>
      <c r="V140" s="42" t="s">
        <v>73</v>
      </c>
      <c r="W140" s="42">
        <f>('Food profiles'!I23/100)*$C$127</f>
        <v>0</v>
      </c>
      <c r="Y140" s="42" t="s">
        <v>73</v>
      </c>
      <c r="Z140" s="42">
        <f>('Food profiles'!L23/100)*$C$128</f>
        <v>260</v>
      </c>
      <c r="AA140" s="111"/>
    </row>
    <row r="141">
      <c r="O141" s="110"/>
      <c r="P141" s="62"/>
      <c r="Q141" s="62"/>
      <c r="S141" s="33" t="s">
        <v>74</v>
      </c>
      <c r="T141" s="33">
        <f>('Food profiles'!F24/100)*$C$126</f>
        <v>8.8</v>
      </c>
      <c r="V141" s="33" t="s">
        <v>74</v>
      </c>
      <c r="W141" s="33">
        <f>('Food profiles'!I24/100)*$C$127</f>
        <v>0</v>
      </c>
      <c r="Y141" s="33" t="s">
        <v>74</v>
      </c>
      <c r="Z141" s="33">
        <f>('Food profiles'!L24/100)*$C$128</f>
        <v>0.4</v>
      </c>
      <c r="AA141" s="111"/>
    </row>
    <row r="142">
      <c r="O142" s="110"/>
      <c r="P142" s="62"/>
      <c r="Q142" s="62"/>
      <c r="S142" s="33" t="s">
        <v>75</v>
      </c>
      <c r="T142" s="33">
        <f>('Food profiles'!F25/100)*$C$126</f>
        <v>26.4</v>
      </c>
      <c r="V142" s="33" t="s">
        <v>75</v>
      </c>
      <c r="W142" s="33">
        <f>('Food profiles'!I25/100)*$C$127</f>
        <v>0</v>
      </c>
      <c r="Y142" s="33" t="s">
        <v>75</v>
      </c>
      <c r="Z142" s="33">
        <f>('Food profiles'!L25/100)*$C$128</f>
        <v>56</v>
      </c>
      <c r="AA142" s="111"/>
    </row>
    <row r="143">
      <c r="O143" s="110"/>
      <c r="P143" s="62"/>
      <c r="Q143" s="62"/>
      <c r="S143" s="33" t="s">
        <v>77</v>
      </c>
      <c r="T143" s="33">
        <f>('Food profiles'!F26/100)*$C$126</f>
        <v>16.5</v>
      </c>
      <c r="V143" s="33" t="s">
        <v>77</v>
      </c>
      <c r="W143" s="33">
        <f>('Food profiles'!I26/100)*$C$127</f>
        <v>0</v>
      </c>
      <c r="Y143" s="33" t="s">
        <v>77</v>
      </c>
      <c r="Z143" s="33">
        <f>('Food profiles'!L26/100)*$C$128</f>
        <v>5.4</v>
      </c>
      <c r="AA143" s="111"/>
    </row>
    <row r="144">
      <c r="O144" s="110"/>
      <c r="P144" s="62"/>
      <c r="Q144" s="62"/>
      <c r="AA144" s="111"/>
    </row>
    <row r="145">
      <c r="O145" s="110"/>
      <c r="P145" s="62"/>
      <c r="Q145" s="62"/>
      <c r="AA145" s="111"/>
    </row>
    <row r="146">
      <c r="O146" s="110"/>
      <c r="P146" s="33" t="s">
        <v>271</v>
      </c>
      <c r="S146" s="33" t="s">
        <v>91</v>
      </c>
      <c r="V146" s="33" t="s">
        <v>272</v>
      </c>
      <c r="Y146" s="33" t="s">
        <v>93</v>
      </c>
      <c r="AA146" s="111"/>
    </row>
    <row r="147">
      <c r="O147" s="110"/>
      <c r="P147" s="35"/>
      <c r="S147" s="35"/>
      <c r="V147" s="35"/>
      <c r="Y147" s="35"/>
      <c r="AA147" s="111"/>
    </row>
    <row r="148">
      <c r="O148" s="110"/>
      <c r="P148" s="37" t="s">
        <v>269</v>
      </c>
      <c r="Q148" s="39"/>
      <c r="S148" s="37" t="s">
        <v>269</v>
      </c>
      <c r="T148" s="39"/>
      <c r="V148" s="37" t="s">
        <v>269</v>
      </c>
      <c r="W148" s="39"/>
      <c r="Y148" s="37" t="s">
        <v>269</v>
      </c>
      <c r="Z148" s="39"/>
      <c r="AA148" s="111"/>
    </row>
    <row r="149">
      <c r="O149" s="110"/>
      <c r="P149" s="42" t="s">
        <v>73</v>
      </c>
      <c r="Q149" s="42">
        <f>('Food profiles'!C32/100)*$C$129</f>
        <v>0</v>
      </c>
      <c r="S149" s="42" t="s">
        <v>73</v>
      </c>
      <c r="T149" s="42">
        <f>('Food profiles'!F32/100)*$C$130</f>
        <v>0</v>
      </c>
      <c r="V149" s="42" t="s">
        <v>73</v>
      </c>
      <c r="W149" s="42">
        <f>('Food profiles'!I32/100)*$C$131</f>
        <v>0</v>
      </c>
      <c r="Y149" s="42" t="s">
        <v>73</v>
      </c>
      <c r="Z149" s="42">
        <f>('Food profiles'!L32)*$C$132</f>
        <v>0</v>
      </c>
      <c r="AA149" s="111"/>
    </row>
    <row r="150">
      <c r="O150" s="110"/>
      <c r="P150" s="33" t="s">
        <v>74</v>
      </c>
      <c r="Q150" s="33">
        <f>('Food profiles'!C33/100)*$C$129</f>
        <v>0</v>
      </c>
      <c r="S150" s="33" t="s">
        <v>74</v>
      </c>
      <c r="T150" s="33">
        <f>('Food profiles'!F33/100)*$C$130</f>
        <v>0</v>
      </c>
      <c r="V150" s="33" t="s">
        <v>74</v>
      </c>
      <c r="W150" s="33">
        <f>('Food profiles'!I33/100)*$C$131</f>
        <v>0</v>
      </c>
      <c r="Y150" s="33" t="s">
        <v>74</v>
      </c>
      <c r="Z150" s="33">
        <f>('Food profiles'!L33)*$C$132</f>
        <v>0</v>
      </c>
      <c r="AA150" s="111"/>
    </row>
    <row r="151">
      <c r="O151" s="110"/>
      <c r="P151" s="33" t="s">
        <v>75</v>
      </c>
      <c r="Q151" s="33">
        <f>('Food profiles'!C34/100)*$C$129</f>
        <v>0</v>
      </c>
      <c r="S151" s="33" t="s">
        <v>75</v>
      </c>
      <c r="T151" s="33">
        <f>('Food profiles'!F34/100)*$C$130</f>
        <v>0</v>
      </c>
      <c r="V151" s="33" t="s">
        <v>75</v>
      </c>
      <c r="W151" s="33">
        <f>('Food profiles'!I34/100)*$C$131</f>
        <v>0</v>
      </c>
      <c r="Y151" s="33" t="s">
        <v>75</v>
      </c>
      <c r="Z151" s="33">
        <f>('Food profiles'!L34)*$C$132</f>
        <v>0</v>
      </c>
      <c r="AA151" s="111"/>
    </row>
    <row r="152">
      <c r="O152" s="110"/>
      <c r="P152" s="33" t="s">
        <v>77</v>
      </c>
      <c r="Q152" s="33">
        <f>('Food profiles'!C35/100)*$C$129</f>
        <v>0</v>
      </c>
      <c r="S152" s="33" t="s">
        <v>77</v>
      </c>
      <c r="T152" s="33">
        <f>('Food profiles'!F35/100)*$C$130</f>
        <v>0</v>
      </c>
      <c r="V152" s="33" t="s">
        <v>77</v>
      </c>
      <c r="W152" s="33">
        <f>('Food profiles'!I35/100)*$C$131</f>
        <v>0</v>
      </c>
      <c r="Y152" s="33" t="s">
        <v>77</v>
      </c>
      <c r="Z152" s="33">
        <f>('Food profiles'!L35)*$C$132</f>
        <v>0</v>
      </c>
      <c r="AA152" s="111"/>
    </row>
    <row r="153">
      <c r="O153" s="110"/>
      <c r="P153" s="62"/>
      <c r="Q153" s="62"/>
      <c r="AA153" s="111"/>
    </row>
    <row r="154">
      <c r="O154" s="110"/>
      <c r="P154" s="62"/>
      <c r="Q154" s="62"/>
      <c r="AA154" s="111"/>
    </row>
    <row r="155">
      <c r="O155" s="110"/>
      <c r="P155" s="62"/>
      <c r="Q155" s="62"/>
      <c r="AA155" s="111"/>
    </row>
    <row r="156">
      <c r="O156" s="110"/>
      <c r="P156" s="62"/>
      <c r="Q156" s="62"/>
      <c r="AA156" s="111"/>
    </row>
    <row r="157">
      <c r="O157" s="110"/>
      <c r="P157" s="62"/>
      <c r="Q157" s="62"/>
      <c r="AA157" s="111"/>
    </row>
    <row r="158">
      <c r="O158" s="110"/>
      <c r="P158" s="62"/>
      <c r="Q158" s="62"/>
      <c r="AA158" s="111"/>
    </row>
    <row r="159">
      <c r="O159" s="110"/>
      <c r="P159" s="62"/>
      <c r="Q159" s="62"/>
      <c r="AA159" s="111"/>
    </row>
    <row r="160">
      <c r="O160" s="110"/>
      <c r="P160" s="62"/>
      <c r="Q160" s="62"/>
      <c r="AA160" s="111"/>
    </row>
    <row r="161">
      <c r="O161" s="110"/>
      <c r="P161" s="62"/>
      <c r="Q161" s="62"/>
      <c r="AA161" s="111"/>
    </row>
    <row r="162">
      <c r="O162" s="110"/>
      <c r="P162" s="62"/>
      <c r="Q162" s="62"/>
      <c r="AA162" s="111"/>
    </row>
    <row r="163">
      <c r="O163" s="110"/>
      <c r="P163" s="62"/>
      <c r="Q163" s="62"/>
      <c r="AA163" s="111"/>
    </row>
    <row r="164">
      <c r="O164" s="110"/>
      <c r="P164" s="62"/>
      <c r="Q164" s="62"/>
      <c r="AA164" s="111"/>
    </row>
    <row r="165">
      <c r="O165" s="110"/>
      <c r="P165" s="62"/>
      <c r="Q165" s="62"/>
      <c r="AA165" s="111"/>
    </row>
    <row r="166">
      <c r="O166" s="110"/>
      <c r="P166" s="62"/>
      <c r="Q166" s="62"/>
      <c r="AA166" s="111"/>
    </row>
    <row r="167">
      <c r="O167" s="110"/>
      <c r="P167" s="62"/>
      <c r="Q167" s="62"/>
      <c r="AA167" s="111"/>
    </row>
    <row r="168">
      <c r="O168" s="110"/>
      <c r="P168" s="62"/>
      <c r="Q168" s="62"/>
      <c r="AA168" s="111"/>
    </row>
    <row r="169">
      <c r="O169" s="121"/>
      <c r="P169" s="122"/>
      <c r="Q169" s="122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4"/>
    </row>
    <row r="170">
      <c r="P170" s="62"/>
      <c r="Q170" s="62"/>
    </row>
    <row r="171">
      <c r="P171" s="62"/>
      <c r="Q171" s="62"/>
    </row>
    <row r="172">
      <c r="P172" s="62"/>
      <c r="Q172" s="62"/>
    </row>
    <row r="173">
      <c r="P173" s="62"/>
      <c r="Q173" s="62"/>
    </row>
    <row r="174">
      <c r="P174" s="62"/>
      <c r="Q174" s="62"/>
    </row>
    <row r="175">
      <c r="P175" s="62"/>
      <c r="Q175" s="62"/>
    </row>
    <row r="176">
      <c r="P176" s="62"/>
      <c r="Q176" s="62"/>
    </row>
    <row r="177">
      <c r="P177" s="62"/>
      <c r="Q177" s="62"/>
    </row>
    <row r="178">
      <c r="P178" s="62"/>
      <c r="Q178" s="62"/>
    </row>
    <row r="179">
      <c r="P179" s="62"/>
      <c r="Q179" s="62"/>
    </row>
    <row r="180">
      <c r="P180" s="62"/>
      <c r="Q180" s="62"/>
    </row>
    <row r="181">
      <c r="P181" s="62"/>
      <c r="Q181" s="62"/>
    </row>
    <row r="182">
      <c r="P182" s="62"/>
      <c r="Q182" s="62"/>
    </row>
    <row r="183">
      <c r="P183" s="62"/>
      <c r="Q183" s="62"/>
    </row>
    <row r="184">
      <c r="P184" s="62"/>
      <c r="Q184" s="62"/>
    </row>
    <row r="185">
      <c r="P185" s="62"/>
      <c r="Q185" s="62"/>
    </row>
    <row r="186">
      <c r="P186" s="62"/>
      <c r="Q186" s="62"/>
    </row>
    <row r="187">
      <c r="P187" s="62"/>
      <c r="Q187" s="62"/>
    </row>
    <row r="188">
      <c r="P188" s="62"/>
      <c r="Q188" s="62"/>
    </row>
    <row r="189">
      <c r="P189" s="62"/>
      <c r="Q189" s="62"/>
    </row>
    <row r="190">
      <c r="P190" s="62"/>
      <c r="Q190" s="62"/>
    </row>
    <row r="191">
      <c r="P191" s="62"/>
      <c r="Q191" s="62"/>
    </row>
    <row r="192">
      <c r="P192" s="62"/>
      <c r="Q192" s="62"/>
    </row>
    <row r="193">
      <c r="P193" s="62"/>
      <c r="Q193" s="62"/>
    </row>
    <row r="194">
      <c r="P194" s="62"/>
      <c r="Q194" s="62"/>
    </row>
    <row r="195">
      <c r="P195" s="62"/>
      <c r="Q195" s="62"/>
    </row>
    <row r="196">
      <c r="P196" s="62"/>
      <c r="Q196" s="62"/>
    </row>
    <row r="197">
      <c r="P197" s="62"/>
      <c r="Q197" s="62"/>
    </row>
    <row r="198">
      <c r="P198" s="62"/>
      <c r="Q198" s="62"/>
    </row>
    <row r="199">
      <c r="P199" s="62"/>
      <c r="Q199" s="62"/>
    </row>
    <row r="200">
      <c r="P200" s="62"/>
      <c r="Q200" s="62"/>
    </row>
    <row r="201">
      <c r="P201" s="62"/>
      <c r="Q201" s="62"/>
    </row>
    <row r="202">
      <c r="P202" s="62"/>
      <c r="Q202" s="62"/>
    </row>
    <row r="203">
      <c r="P203" s="62"/>
      <c r="Q203" s="62"/>
    </row>
    <row r="204">
      <c r="P204" s="62"/>
      <c r="Q204" s="62"/>
    </row>
    <row r="205">
      <c r="P205" s="62"/>
      <c r="Q205" s="62"/>
    </row>
    <row r="206">
      <c r="P206" s="62"/>
      <c r="Q206" s="62"/>
    </row>
    <row r="207">
      <c r="P207" s="62"/>
      <c r="Q207" s="62"/>
    </row>
    <row r="208">
      <c r="P208" s="62"/>
      <c r="Q208" s="62"/>
    </row>
    <row r="209">
      <c r="P209" s="62"/>
      <c r="Q209" s="62"/>
    </row>
    <row r="210">
      <c r="P210" s="62"/>
      <c r="Q210" s="62"/>
    </row>
    <row r="211">
      <c r="P211" s="62"/>
      <c r="Q211" s="62"/>
    </row>
    <row r="212">
      <c r="P212" s="62"/>
      <c r="Q212" s="62"/>
    </row>
    <row r="213">
      <c r="P213" s="62"/>
      <c r="Q213" s="62"/>
    </row>
    <row r="214">
      <c r="P214" s="62"/>
      <c r="Q214" s="62"/>
    </row>
    <row r="215">
      <c r="P215" s="62"/>
      <c r="Q215" s="62"/>
    </row>
    <row r="216">
      <c r="P216" s="62"/>
      <c r="Q216" s="62"/>
    </row>
    <row r="217">
      <c r="P217" s="62"/>
      <c r="Q217" s="62"/>
    </row>
    <row r="218">
      <c r="P218" s="62"/>
      <c r="Q218" s="62"/>
    </row>
    <row r="219">
      <c r="P219" s="62"/>
      <c r="Q219" s="62"/>
    </row>
    <row r="220">
      <c r="P220" s="62"/>
      <c r="Q220" s="62"/>
    </row>
    <row r="221">
      <c r="P221" s="62"/>
      <c r="Q221" s="62"/>
    </row>
    <row r="222">
      <c r="P222" s="62"/>
      <c r="Q222" s="62"/>
    </row>
    <row r="223">
      <c r="P223" s="62"/>
      <c r="Q223" s="62"/>
    </row>
    <row r="224">
      <c r="P224" s="62"/>
      <c r="Q224" s="62"/>
    </row>
    <row r="225">
      <c r="P225" s="62"/>
      <c r="Q225" s="62"/>
    </row>
    <row r="226">
      <c r="P226" s="62"/>
      <c r="Q226" s="62"/>
    </row>
    <row r="227">
      <c r="P227" s="62"/>
      <c r="Q227" s="62"/>
    </row>
    <row r="228">
      <c r="P228" s="62"/>
      <c r="Q228" s="62"/>
    </row>
    <row r="229">
      <c r="P229" s="62"/>
      <c r="Q229" s="62"/>
    </row>
    <row r="230">
      <c r="P230" s="62"/>
      <c r="Q230" s="62"/>
    </row>
    <row r="231">
      <c r="P231" s="62"/>
      <c r="Q231" s="62"/>
    </row>
    <row r="232">
      <c r="P232" s="62"/>
      <c r="Q232" s="62"/>
    </row>
    <row r="233">
      <c r="P233" s="62"/>
      <c r="Q233" s="62"/>
    </row>
    <row r="234">
      <c r="P234" s="62"/>
      <c r="Q234" s="62"/>
    </row>
    <row r="235">
      <c r="P235" s="62"/>
      <c r="Q235" s="62"/>
    </row>
    <row r="236">
      <c r="P236" s="62"/>
      <c r="Q236" s="62"/>
    </row>
    <row r="237">
      <c r="P237" s="62"/>
      <c r="Q237" s="62"/>
    </row>
    <row r="238">
      <c r="P238" s="62"/>
      <c r="Q238" s="62"/>
    </row>
    <row r="239">
      <c r="P239" s="62"/>
      <c r="Q239" s="62"/>
    </row>
    <row r="240">
      <c r="P240" s="62"/>
      <c r="Q240" s="62"/>
    </row>
    <row r="241">
      <c r="P241" s="62"/>
      <c r="Q241" s="62"/>
    </row>
    <row r="242">
      <c r="P242" s="62"/>
      <c r="Q242" s="62"/>
    </row>
    <row r="243">
      <c r="P243" s="62"/>
      <c r="Q243" s="62"/>
    </row>
    <row r="244">
      <c r="P244" s="62"/>
      <c r="Q244" s="62"/>
    </row>
    <row r="245">
      <c r="P245" s="62"/>
      <c r="Q245" s="62"/>
    </row>
    <row r="246">
      <c r="P246" s="62"/>
      <c r="Q246" s="62"/>
    </row>
    <row r="247">
      <c r="P247" s="62"/>
      <c r="Q247" s="62"/>
    </row>
    <row r="248">
      <c r="P248" s="62"/>
      <c r="Q248" s="62"/>
    </row>
    <row r="249">
      <c r="P249" s="62"/>
      <c r="Q249" s="62"/>
    </row>
    <row r="250">
      <c r="P250" s="62"/>
      <c r="Q250" s="62"/>
    </row>
    <row r="251">
      <c r="P251" s="62"/>
      <c r="Q251" s="62"/>
    </row>
    <row r="252">
      <c r="P252" s="62"/>
      <c r="Q252" s="62"/>
    </row>
    <row r="253">
      <c r="P253" s="62"/>
      <c r="Q253" s="62"/>
    </row>
    <row r="254">
      <c r="P254" s="62"/>
      <c r="Q254" s="62"/>
    </row>
    <row r="255">
      <c r="P255" s="62"/>
      <c r="Q255" s="62"/>
    </row>
    <row r="256">
      <c r="P256" s="62"/>
      <c r="Q256" s="62"/>
    </row>
    <row r="257">
      <c r="P257" s="62"/>
      <c r="Q257" s="62"/>
    </row>
    <row r="258">
      <c r="P258" s="62"/>
      <c r="Q258" s="62"/>
    </row>
    <row r="259">
      <c r="P259" s="62"/>
      <c r="Q259" s="62"/>
    </row>
    <row r="260">
      <c r="P260" s="62"/>
      <c r="Q260" s="62"/>
    </row>
    <row r="261">
      <c r="P261" s="62"/>
      <c r="Q261" s="62"/>
    </row>
    <row r="262">
      <c r="P262" s="62"/>
      <c r="Q262" s="62"/>
    </row>
    <row r="263">
      <c r="P263" s="62"/>
      <c r="Q263" s="62"/>
    </row>
    <row r="264">
      <c r="P264" s="62"/>
      <c r="Q264" s="62"/>
    </row>
    <row r="265">
      <c r="P265" s="62"/>
      <c r="Q265" s="62"/>
    </row>
    <row r="266">
      <c r="P266" s="62"/>
      <c r="Q266" s="62"/>
    </row>
    <row r="267">
      <c r="P267" s="62"/>
      <c r="Q267" s="62"/>
    </row>
    <row r="268">
      <c r="P268" s="62"/>
      <c r="Q268" s="62"/>
    </row>
    <row r="269">
      <c r="P269" s="62"/>
      <c r="Q269" s="62"/>
    </row>
    <row r="270">
      <c r="P270" s="62"/>
      <c r="Q270" s="62"/>
    </row>
    <row r="271">
      <c r="P271" s="62"/>
      <c r="Q271" s="62"/>
    </row>
    <row r="272">
      <c r="P272" s="62"/>
      <c r="Q272" s="62"/>
    </row>
    <row r="273">
      <c r="P273" s="62"/>
      <c r="Q273" s="62"/>
    </row>
    <row r="274">
      <c r="P274" s="62"/>
      <c r="Q274" s="62"/>
    </row>
    <row r="275">
      <c r="P275" s="62"/>
      <c r="Q275" s="62"/>
    </row>
    <row r="276">
      <c r="P276" s="62"/>
      <c r="Q276" s="62"/>
    </row>
    <row r="277">
      <c r="P277" s="62"/>
      <c r="Q277" s="62"/>
    </row>
    <row r="278">
      <c r="P278" s="62"/>
      <c r="Q278" s="62"/>
    </row>
    <row r="279">
      <c r="P279" s="62"/>
      <c r="Q279" s="62"/>
    </row>
    <row r="280">
      <c r="P280" s="62"/>
      <c r="Q280" s="62"/>
    </row>
    <row r="281">
      <c r="P281" s="62"/>
      <c r="Q281" s="62"/>
    </row>
    <row r="282">
      <c r="P282" s="62"/>
      <c r="Q282" s="62"/>
    </row>
    <row r="283">
      <c r="P283" s="62"/>
      <c r="Q283" s="62"/>
    </row>
    <row r="284">
      <c r="P284" s="62"/>
      <c r="Q284" s="62"/>
    </row>
    <row r="285">
      <c r="P285" s="62"/>
      <c r="Q285" s="62"/>
    </row>
    <row r="286">
      <c r="P286" s="62"/>
      <c r="Q286" s="62"/>
    </row>
    <row r="287">
      <c r="P287" s="62"/>
      <c r="Q287" s="62"/>
    </row>
    <row r="288">
      <c r="P288" s="62"/>
      <c r="Q288" s="62"/>
    </row>
    <row r="289">
      <c r="P289" s="62"/>
      <c r="Q289" s="62"/>
    </row>
    <row r="290">
      <c r="P290" s="62"/>
      <c r="Q290" s="62"/>
    </row>
    <row r="291">
      <c r="P291" s="62"/>
      <c r="Q291" s="62"/>
    </row>
    <row r="292">
      <c r="P292" s="62"/>
      <c r="Q292" s="62"/>
    </row>
    <row r="293">
      <c r="P293" s="62"/>
      <c r="Q293" s="62"/>
    </row>
    <row r="294">
      <c r="P294" s="62"/>
      <c r="Q294" s="62"/>
    </row>
    <row r="295">
      <c r="P295" s="62"/>
      <c r="Q295" s="62"/>
    </row>
    <row r="296">
      <c r="P296" s="62"/>
      <c r="Q296" s="62"/>
    </row>
    <row r="297">
      <c r="P297" s="62"/>
      <c r="Q297" s="62"/>
    </row>
    <row r="298">
      <c r="P298" s="62"/>
      <c r="Q298" s="62"/>
    </row>
    <row r="299">
      <c r="P299" s="62"/>
      <c r="Q299" s="62"/>
    </row>
    <row r="300">
      <c r="P300" s="62"/>
      <c r="Q300" s="62"/>
    </row>
    <row r="301">
      <c r="P301" s="62"/>
      <c r="Q301" s="62"/>
    </row>
    <row r="302">
      <c r="P302" s="62"/>
      <c r="Q302" s="62"/>
    </row>
    <row r="303">
      <c r="P303" s="62"/>
      <c r="Q303" s="62"/>
    </row>
    <row r="304">
      <c r="P304" s="62"/>
      <c r="Q304" s="62"/>
    </row>
    <row r="305">
      <c r="P305" s="62"/>
      <c r="Q305" s="62"/>
    </row>
    <row r="306">
      <c r="P306" s="62"/>
      <c r="Q306" s="62"/>
    </row>
    <row r="307">
      <c r="P307" s="62"/>
      <c r="Q307" s="62"/>
    </row>
    <row r="308">
      <c r="P308" s="62"/>
      <c r="Q308" s="62"/>
    </row>
    <row r="309">
      <c r="P309" s="62"/>
      <c r="Q309" s="62"/>
    </row>
    <row r="310">
      <c r="P310" s="62"/>
      <c r="Q310" s="62"/>
    </row>
    <row r="311">
      <c r="P311" s="62"/>
      <c r="Q311" s="62"/>
    </row>
    <row r="312">
      <c r="P312" s="62"/>
      <c r="Q312" s="62"/>
    </row>
    <row r="313">
      <c r="P313" s="62"/>
      <c r="Q313" s="62"/>
    </row>
    <row r="314">
      <c r="P314" s="62"/>
      <c r="Q314" s="62"/>
    </row>
    <row r="315">
      <c r="P315" s="62"/>
      <c r="Q315" s="62"/>
    </row>
    <row r="316">
      <c r="P316" s="62"/>
      <c r="Q316" s="62"/>
    </row>
    <row r="317">
      <c r="P317" s="62"/>
      <c r="Q317" s="62"/>
    </row>
    <row r="318">
      <c r="P318" s="62"/>
      <c r="Q318" s="62"/>
    </row>
    <row r="319">
      <c r="P319" s="62"/>
      <c r="Q319" s="62"/>
    </row>
    <row r="320">
      <c r="P320" s="62"/>
      <c r="Q320" s="62"/>
    </row>
    <row r="321">
      <c r="P321" s="62"/>
      <c r="Q321" s="62"/>
    </row>
    <row r="322">
      <c r="P322" s="62"/>
      <c r="Q322" s="62"/>
    </row>
    <row r="323">
      <c r="P323" s="62"/>
      <c r="Q323" s="62"/>
    </row>
    <row r="324">
      <c r="P324" s="62"/>
      <c r="Q324" s="62"/>
    </row>
    <row r="325">
      <c r="P325" s="62"/>
      <c r="Q325" s="62"/>
    </row>
    <row r="326">
      <c r="P326" s="62"/>
      <c r="Q326" s="62"/>
    </row>
    <row r="327">
      <c r="P327" s="62"/>
      <c r="Q327" s="62"/>
    </row>
    <row r="328">
      <c r="P328" s="62"/>
      <c r="Q328" s="62"/>
    </row>
    <row r="329">
      <c r="P329" s="62"/>
      <c r="Q329" s="62"/>
    </row>
    <row r="330">
      <c r="P330" s="62"/>
      <c r="Q330" s="62"/>
    </row>
    <row r="331">
      <c r="P331" s="62"/>
      <c r="Q331" s="62"/>
    </row>
    <row r="332">
      <c r="P332" s="62"/>
      <c r="Q332" s="62"/>
    </row>
    <row r="333">
      <c r="P333" s="62"/>
      <c r="Q333" s="62"/>
    </row>
    <row r="334">
      <c r="P334" s="62"/>
      <c r="Q334" s="62"/>
    </row>
    <row r="335">
      <c r="P335" s="62"/>
      <c r="Q335" s="62"/>
    </row>
    <row r="336">
      <c r="P336" s="62"/>
      <c r="Q336" s="62"/>
    </row>
    <row r="337">
      <c r="P337" s="62"/>
      <c r="Q337" s="62"/>
    </row>
    <row r="338">
      <c r="P338" s="62"/>
      <c r="Q338" s="62"/>
    </row>
    <row r="339">
      <c r="P339" s="62"/>
      <c r="Q339" s="62"/>
    </row>
    <row r="340">
      <c r="P340" s="62"/>
      <c r="Q340" s="62"/>
    </row>
    <row r="341">
      <c r="P341" s="62"/>
      <c r="Q341" s="62"/>
    </row>
    <row r="342">
      <c r="P342" s="62"/>
      <c r="Q342" s="62"/>
    </row>
    <row r="343">
      <c r="P343" s="62"/>
      <c r="Q343" s="62"/>
    </row>
    <row r="344">
      <c r="P344" s="62"/>
      <c r="Q344" s="62"/>
    </row>
    <row r="345">
      <c r="P345" s="62"/>
      <c r="Q345" s="62"/>
    </row>
    <row r="346">
      <c r="P346" s="62"/>
      <c r="Q346" s="62"/>
    </row>
    <row r="347">
      <c r="P347" s="62"/>
      <c r="Q347" s="62"/>
    </row>
    <row r="348">
      <c r="P348" s="62"/>
      <c r="Q348" s="62"/>
    </row>
    <row r="349">
      <c r="P349" s="62"/>
      <c r="Q349" s="62"/>
    </row>
    <row r="350">
      <c r="P350" s="62"/>
      <c r="Q350" s="62"/>
    </row>
    <row r="351">
      <c r="P351" s="62"/>
      <c r="Q351" s="62"/>
    </row>
    <row r="352">
      <c r="P352" s="62"/>
      <c r="Q352" s="62"/>
    </row>
    <row r="353">
      <c r="P353" s="62"/>
      <c r="Q353" s="62"/>
    </row>
    <row r="354">
      <c r="P354" s="62"/>
      <c r="Q354" s="62"/>
    </row>
    <row r="355">
      <c r="P355" s="62"/>
      <c r="Q355" s="62"/>
    </row>
    <row r="356">
      <c r="P356" s="62"/>
      <c r="Q356" s="62"/>
    </row>
    <row r="357">
      <c r="P357" s="62"/>
      <c r="Q357" s="62"/>
    </row>
    <row r="358">
      <c r="P358" s="62"/>
      <c r="Q358" s="62"/>
    </row>
    <row r="359">
      <c r="P359" s="62"/>
      <c r="Q359" s="62"/>
    </row>
    <row r="360">
      <c r="P360" s="62"/>
      <c r="Q360" s="62"/>
    </row>
    <row r="361">
      <c r="P361" s="62"/>
      <c r="Q361" s="62"/>
    </row>
    <row r="362">
      <c r="P362" s="62"/>
      <c r="Q362" s="62"/>
    </row>
    <row r="363">
      <c r="P363" s="62"/>
      <c r="Q363" s="62"/>
    </row>
    <row r="364">
      <c r="P364" s="62"/>
      <c r="Q364" s="62"/>
    </row>
    <row r="365">
      <c r="P365" s="62"/>
      <c r="Q365" s="62"/>
    </row>
    <row r="366">
      <c r="P366" s="62"/>
      <c r="Q366" s="62"/>
    </row>
    <row r="367">
      <c r="P367" s="62"/>
      <c r="Q367" s="62"/>
    </row>
    <row r="368">
      <c r="P368" s="62"/>
      <c r="Q368" s="62"/>
    </row>
    <row r="369">
      <c r="P369" s="62"/>
      <c r="Q369" s="62"/>
    </row>
    <row r="370">
      <c r="P370" s="62"/>
      <c r="Q370" s="62"/>
    </row>
    <row r="371">
      <c r="P371" s="62"/>
      <c r="Q371" s="62"/>
    </row>
    <row r="372">
      <c r="P372" s="62"/>
      <c r="Q372" s="62"/>
    </row>
    <row r="373">
      <c r="P373" s="62"/>
      <c r="Q373" s="62"/>
    </row>
    <row r="374">
      <c r="P374" s="62"/>
      <c r="Q374" s="62"/>
    </row>
    <row r="375">
      <c r="P375" s="62"/>
      <c r="Q375" s="62"/>
    </row>
    <row r="376">
      <c r="P376" s="62"/>
      <c r="Q376" s="62"/>
    </row>
    <row r="377">
      <c r="P377" s="62"/>
      <c r="Q377" s="62"/>
    </row>
    <row r="378">
      <c r="P378" s="62"/>
      <c r="Q378" s="62"/>
    </row>
    <row r="379">
      <c r="P379" s="62"/>
      <c r="Q379" s="62"/>
    </row>
    <row r="380">
      <c r="P380" s="62"/>
      <c r="Q380" s="62"/>
    </row>
    <row r="381">
      <c r="P381" s="62"/>
      <c r="Q381" s="62"/>
    </row>
    <row r="382">
      <c r="P382" s="62"/>
      <c r="Q382" s="62"/>
    </row>
    <row r="383">
      <c r="P383" s="62"/>
      <c r="Q383" s="62"/>
    </row>
    <row r="384">
      <c r="P384" s="62"/>
      <c r="Q384" s="62"/>
    </row>
    <row r="385">
      <c r="P385" s="62"/>
      <c r="Q385" s="62"/>
    </row>
    <row r="386">
      <c r="P386" s="62"/>
      <c r="Q386" s="62"/>
    </row>
    <row r="387">
      <c r="P387" s="62"/>
      <c r="Q387" s="62"/>
    </row>
    <row r="388">
      <c r="P388" s="62"/>
      <c r="Q388" s="62"/>
    </row>
    <row r="389">
      <c r="P389" s="62"/>
      <c r="Q389" s="62"/>
    </row>
    <row r="390">
      <c r="P390" s="62"/>
      <c r="Q390" s="62"/>
    </row>
    <row r="391">
      <c r="P391" s="62"/>
      <c r="Q391" s="62"/>
    </row>
    <row r="392">
      <c r="P392" s="62"/>
      <c r="Q392" s="62"/>
    </row>
    <row r="393">
      <c r="P393" s="62"/>
      <c r="Q393" s="62"/>
    </row>
    <row r="394">
      <c r="P394" s="62"/>
      <c r="Q394" s="62"/>
    </row>
    <row r="395">
      <c r="P395" s="62"/>
      <c r="Q395" s="62"/>
    </row>
    <row r="396">
      <c r="P396" s="62"/>
      <c r="Q396" s="62"/>
    </row>
    <row r="397">
      <c r="P397" s="62"/>
      <c r="Q397" s="62"/>
    </row>
    <row r="398">
      <c r="P398" s="62"/>
      <c r="Q398" s="62"/>
    </row>
    <row r="399">
      <c r="P399" s="62"/>
      <c r="Q399" s="62"/>
    </row>
    <row r="400">
      <c r="P400" s="62"/>
      <c r="Q400" s="62"/>
    </row>
    <row r="401">
      <c r="P401" s="62"/>
      <c r="Q401" s="62"/>
    </row>
    <row r="402">
      <c r="P402" s="62"/>
      <c r="Q402" s="62"/>
    </row>
    <row r="403">
      <c r="P403" s="62"/>
      <c r="Q403" s="62"/>
    </row>
    <row r="404">
      <c r="P404" s="62"/>
      <c r="Q404" s="62"/>
    </row>
    <row r="405">
      <c r="P405" s="62"/>
      <c r="Q405" s="62"/>
    </row>
    <row r="406">
      <c r="P406" s="62"/>
      <c r="Q406" s="62"/>
    </row>
    <row r="407">
      <c r="P407" s="62"/>
      <c r="Q407" s="62"/>
    </row>
    <row r="408">
      <c r="P408" s="62"/>
      <c r="Q408" s="62"/>
    </row>
    <row r="409">
      <c r="P409" s="62"/>
      <c r="Q409" s="62"/>
    </row>
    <row r="410">
      <c r="P410" s="62"/>
      <c r="Q410" s="62"/>
    </row>
    <row r="411">
      <c r="P411" s="62"/>
      <c r="Q411" s="62"/>
    </row>
    <row r="412">
      <c r="P412" s="62"/>
      <c r="Q412" s="62"/>
    </row>
    <row r="413">
      <c r="P413" s="62"/>
      <c r="Q413" s="62"/>
    </row>
    <row r="414">
      <c r="P414" s="62"/>
      <c r="Q414" s="62"/>
    </row>
    <row r="415">
      <c r="P415" s="62"/>
      <c r="Q415" s="62"/>
    </row>
    <row r="416">
      <c r="P416" s="62"/>
      <c r="Q416" s="62"/>
    </row>
    <row r="417">
      <c r="P417" s="62"/>
      <c r="Q417" s="62"/>
    </row>
    <row r="418">
      <c r="P418" s="62"/>
      <c r="Q418" s="62"/>
    </row>
    <row r="419">
      <c r="P419" s="62"/>
      <c r="Q419" s="62"/>
    </row>
    <row r="420">
      <c r="P420" s="62"/>
      <c r="Q420" s="62"/>
    </row>
    <row r="421">
      <c r="P421" s="62"/>
      <c r="Q421" s="62"/>
    </row>
    <row r="422">
      <c r="P422" s="62"/>
      <c r="Q422" s="62"/>
    </row>
    <row r="423">
      <c r="P423" s="62"/>
      <c r="Q423" s="62"/>
    </row>
    <row r="424">
      <c r="P424" s="62"/>
      <c r="Q424" s="62"/>
    </row>
    <row r="425">
      <c r="P425" s="62"/>
      <c r="Q425" s="62"/>
    </row>
    <row r="426">
      <c r="P426" s="62"/>
      <c r="Q426" s="62"/>
    </row>
    <row r="427">
      <c r="P427" s="62"/>
      <c r="Q427" s="62"/>
    </row>
    <row r="428">
      <c r="P428" s="62"/>
      <c r="Q428" s="62"/>
    </row>
    <row r="429">
      <c r="P429" s="62"/>
      <c r="Q429" s="62"/>
    </row>
    <row r="430">
      <c r="P430" s="62"/>
      <c r="Q430" s="62"/>
    </row>
    <row r="431">
      <c r="P431" s="62"/>
      <c r="Q431" s="62"/>
    </row>
    <row r="432">
      <c r="P432" s="62"/>
      <c r="Q432" s="62"/>
    </row>
    <row r="433">
      <c r="P433" s="62"/>
      <c r="Q433" s="62"/>
    </row>
    <row r="434">
      <c r="P434" s="62"/>
      <c r="Q434" s="62"/>
    </row>
    <row r="435">
      <c r="P435" s="62"/>
      <c r="Q435" s="62"/>
    </row>
    <row r="436">
      <c r="P436" s="62"/>
      <c r="Q436" s="62"/>
    </row>
    <row r="437">
      <c r="P437" s="62"/>
      <c r="Q437" s="62"/>
    </row>
    <row r="438">
      <c r="P438" s="62"/>
      <c r="Q438" s="62"/>
    </row>
    <row r="439">
      <c r="P439" s="62"/>
      <c r="Q439" s="62"/>
    </row>
    <row r="440">
      <c r="P440" s="62"/>
      <c r="Q440" s="62"/>
    </row>
    <row r="441">
      <c r="P441" s="62"/>
      <c r="Q441" s="62"/>
    </row>
    <row r="442">
      <c r="P442" s="62"/>
      <c r="Q442" s="62"/>
    </row>
    <row r="443">
      <c r="P443" s="62"/>
      <c r="Q443" s="62"/>
    </row>
    <row r="444">
      <c r="P444" s="62"/>
      <c r="Q444" s="62"/>
    </row>
    <row r="445">
      <c r="P445" s="62"/>
      <c r="Q445" s="62"/>
    </row>
    <row r="446">
      <c r="P446" s="62"/>
      <c r="Q446" s="62"/>
    </row>
    <row r="447">
      <c r="P447" s="62"/>
      <c r="Q447" s="62"/>
    </row>
    <row r="448">
      <c r="P448" s="62"/>
      <c r="Q448" s="62"/>
    </row>
    <row r="449">
      <c r="P449" s="62"/>
      <c r="Q449" s="62"/>
    </row>
    <row r="450">
      <c r="P450" s="62"/>
      <c r="Q450" s="62"/>
    </row>
    <row r="451">
      <c r="P451" s="62"/>
      <c r="Q451" s="62"/>
    </row>
    <row r="452">
      <c r="P452" s="62"/>
      <c r="Q452" s="62"/>
    </row>
    <row r="453">
      <c r="P453" s="62"/>
      <c r="Q453" s="62"/>
    </row>
    <row r="454">
      <c r="P454" s="62"/>
      <c r="Q454" s="62"/>
    </row>
    <row r="455">
      <c r="P455" s="62"/>
      <c r="Q455" s="62"/>
    </row>
    <row r="456">
      <c r="P456" s="62"/>
      <c r="Q456" s="62"/>
    </row>
    <row r="457">
      <c r="P457" s="62"/>
      <c r="Q457" s="62"/>
    </row>
    <row r="458">
      <c r="P458" s="62"/>
      <c r="Q458" s="62"/>
    </row>
    <row r="459">
      <c r="P459" s="62"/>
      <c r="Q459" s="62"/>
    </row>
    <row r="460">
      <c r="P460" s="62"/>
      <c r="Q460" s="62"/>
    </row>
    <row r="461">
      <c r="P461" s="62"/>
      <c r="Q461" s="62"/>
    </row>
    <row r="462">
      <c r="P462" s="62"/>
      <c r="Q462" s="62"/>
    </row>
    <row r="463">
      <c r="P463" s="62"/>
      <c r="Q463" s="62"/>
    </row>
    <row r="464">
      <c r="P464" s="62"/>
      <c r="Q464" s="62"/>
    </row>
    <row r="465">
      <c r="P465" s="62"/>
      <c r="Q465" s="62"/>
    </row>
    <row r="466">
      <c r="P466" s="62"/>
      <c r="Q466" s="62"/>
    </row>
    <row r="467">
      <c r="P467" s="62"/>
      <c r="Q467" s="62"/>
    </row>
    <row r="468">
      <c r="P468" s="62"/>
      <c r="Q468" s="62"/>
    </row>
    <row r="469">
      <c r="P469" s="62"/>
      <c r="Q469" s="62"/>
    </row>
    <row r="470">
      <c r="P470" s="62"/>
      <c r="Q470" s="62"/>
    </row>
    <row r="471">
      <c r="P471" s="62"/>
      <c r="Q471" s="62"/>
    </row>
    <row r="472">
      <c r="P472" s="62"/>
      <c r="Q472" s="62"/>
    </row>
    <row r="473">
      <c r="P473" s="62"/>
      <c r="Q473" s="62"/>
    </row>
    <row r="474">
      <c r="P474" s="62"/>
      <c r="Q474" s="62"/>
    </row>
    <row r="475">
      <c r="P475" s="62"/>
      <c r="Q475" s="62"/>
    </row>
    <row r="476">
      <c r="P476" s="62"/>
      <c r="Q476" s="62"/>
    </row>
    <row r="477">
      <c r="P477" s="62"/>
      <c r="Q477" s="62"/>
    </row>
    <row r="478">
      <c r="P478" s="62"/>
      <c r="Q478" s="62"/>
    </row>
    <row r="479">
      <c r="P479" s="62"/>
      <c r="Q479" s="62"/>
    </row>
    <row r="480">
      <c r="P480" s="62"/>
      <c r="Q480" s="62"/>
    </row>
    <row r="481">
      <c r="P481" s="62"/>
      <c r="Q481" s="62"/>
    </row>
    <row r="482">
      <c r="P482" s="62"/>
      <c r="Q482" s="62"/>
    </row>
    <row r="483">
      <c r="P483" s="62"/>
      <c r="Q483" s="62"/>
    </row>
    <row r="484">
      <c r="P484" s="62"/>
      <c r="Q484" s="62"/>
    </row>
    <row r="485">
      <c r="P485" s="62"/>
      <c r="Q485" s="62"/>
    </row>
    <row r="486">
      <c r="P486" s="62"/>
      <c r="Q486" s="62"/>
    </row>
    <row r="487">
      <c r="P487" s="62"/>
      <c r="Q487" s="62"/>
    </row>
    <row r="488">
      <c r="P488" s="62"/>
      <c r="Q488" s="62"/>
    </row>
    <row r="489">
      <c r="P489" s="62"/>
      <c r="Q489" s="62"/>
    </row>
    <row r="490">
      <c r="P490" s="62"/>
      <c r="Q490" s="62"/>
    </row>
    <row r="491">
      <c r="P491" s="62"/>
      <c r="Q491" s="62"/>
    </row>
    <row r="492">
      <c r="P492" s="62"/>
      <c r="Q492" s="62"/>
    </row>
    <row r="493">
      <c r="P493" s="62"/>
      <c r="Q493" s="62"/>
    </row>
    <row r="494">
      <c r="P494" s="62"/>
      <c r="Q494" s="62"/>
    </row>
    <row r="495">
      <c r="P495" s="62"/>
      <c r="Q495" s="62"/>
    </row>
    <row r="496">
      <c r="P496" s="62"/>
      <c r="Q496" s="62"/>
    </row>
    <row r="497">
      <c r="P497" s="62"/>
      <c r="Q497" s="62"/>
    </row>
    <row r="498">
      <c r="P498" s="62"/>
      <c r="Q498" s="62"/>
    </row>
    <row r="499">
      <c r="P499" s="62"/>
      <c r="Q499" s="62"/>
    </row>
    <row r="500">
      <c r="P500" s="62"/>
      <c r="Q500" s="62"/>
    </row>
    <row r="501">
      <c r="P501" s="62"/>
      <c r="Q501" s="62"/>
    </row>
    <row r="502">
      <c r="P502" s="62"/>
      <c r="Q502" s="62"/>
    </row>
    <row r="503">
      <c r="P503" s="62"/>
      <c r="Q503" s="62"/>
    </row>
    <row r="504">
      <c r="P504" s="62"/>
      <c r="Q504" s="62"/>
    </row>
    <row r="505">
      <c r="P505" s="62"/>
      <c r="Q505" s="62"/>
    </row>
    <row r="506">
      <c r="P506" s="62"/>
      <c r="Q506" s="62"/>
    </row>
    <row r="507">
      <c r="P507" s="62"/>
      <c r="Q507" s="62"/>
    </row>
    <row r="508">
      <c r="P508" s="62"/>
      <c r="Q508" s="62"/>
    </row>
    <row r="509">
      <c r="P509" s="62"/>
      <c r="Q509" s="62"/>
    </row>
    <row r="510">
      <c r="P510" s="62"/>
      <c r="Q510" s="62"/>
    </row>
    <row r="511">
      <c r="P511" s="62"/>
      <c r="Q511" s="62"/>
    </row>
    <row r="512">
      <c r="P512" s="62"/>
      <c r="Q512" s="62"/>
    </row>
    <row r="513">
      <c r="P513" s="62"/>
      <c r="Q513" s="62"/>
    </row>
    <row r="514">
      <c r="P514" s="62"/>
      <c r="Q514" s="62"/>
    </row>
    <row r="515">
      <c r="P515" s="62"/>
      <c r="Q515" s="62"/>
    </row>
    <row r="516">
      <c r="P516" s="62"/>
      <c r="Q516" s="62"/>
    </row>
    <row r="517">
      <c r="P517" s="62"/>
      <c r="Q517" s="62"/>
    </row>
    <row r="518">
      <c r="P518" s="62"/>
      <c r="Q518" s="62"/>
    </row>
    <row r="519">
      <c r="P519" s="62"/>
      <c r="Q519" s="62"/>
    </row>
    <row r="520">
      <c r="P520" s="62"/>
      <c r="Q520" s="62"/>
    </row>
    <row r="521">
      <c r="P521" s="62"/>
      <c r="Q521" s="62"/>
    </row>
    <row r="522">
      <c r="P522" s="62"/>
      <c r="Q522" s="62"/>
    </row>
    <row r="523">
      <c r="P523" s="62"/>
      <c r="Q523" s="62"/>
    </row>
    <row r="524">
      <c r="P524" s="62"/>
      <c r="Q524" s="62"/>
    </row>
    <row r="525">
      <c r="P525" s="62"/>
      <c r="Q525" s="62"/>
    </row>
    <row r="526">
      <c r="P526" s="62"/>
      <c r="Q526" s="62"/>
    </row>
    <row r="527">
      <c r="P527" s="62"/>
      <c r="Q527" s="62"/>
    </row>
    <row r="528">
      <c r="P528" s="62"/>
      <c r="Q528" s="62"/>
    </row>
    <row r="529">
      <c r="P529" s="62"/>
      <c r="Q529" s="62"/>
    </row>
    <row r="530">
      <c r="P530" s="62"/>
      <c r="Q530" s="62"/>
    </row>
    <row r="531">
      <c r="P531" s="62"/>
      <c r="Q531" s="62"/>
    </row>
    <row r="532">
      <c r="P532" s="62"/>
      <c r="Q532" s="62"/>
    </row>
    <row r="533">
      <c r="P533" s="62"/>
      <c r="Q533" s="62"/>
    </row>
    <row r="534">
      <c r="P534" s="62"/>
      <c r="Q534" s="62"/>
    </row>
    <row r="535">
      <c r="P535" s="62"/>
      <c r="Q535" s="62"/>
    </row>
    <row r="536">
      <c r="P536" s="62"/>
      <c r="Q536" s="62"/>
    </row>
    <row r="537">
      <c r="P537" s="62"/>
      <c r="Q537" s="62"/>
    </row>
    <row r="538">
      <c r="P538" s="62"/>
      <c r="Q538" s="62"/>
    </row>
    <row r="539">
      <c r="P539" s="62"/>
      <c r="Q539" s="62"/>
    </row>
    <row r="540">
      <c r="P540" s="62"/>
      <c r="Q540" s="62"/>
    </row>
    <row r="541">
      <c r="P541" s="62"/>
      <c r="Q541" s="62"/>
    </row>
    <row r="542">
      <c r="P542" s="62"/>
      <c r="Q542" s="62"/>
    </row>
    <row r="543">
      <c r="P543" s="62"/>
      <c r="Q543" s="62"/>
    </row>
    <row r="544">
      <c r="P544" s="62"/>
      <c r="Q544" s="62"/>
    </row>
    <row r="545">
      <c r="P545" s="62"/>
      <c r="Q545" s="62"/>
    </row>
    <row r="546">
      <c r="P546" s="62"/>
      <c r="Q546" s="62"/>
    </row>
    <row r="547">
      <c r="P547" s="62"/>
      <c r="Q547" s="62"/>
    </row>
    <row r="548">
      <c r="P548" s="62"/>
      <c r="Q548" s="62"/>
    </row>
    <row r="549">
      <c r="P549" s="62"/>
      <c r="Q549" s="62"/>
    </row>
    <row r="550">
      <c r="P550" s="62"/>
      <c r="Q550" s="62"/>
    </row>
    <row r="551">
      <c r="P551" s="62"/>
      <c r="Q551" s="62"/>
    </row>
    <row r="552">
      <c r="P552" s="62"/>
      <c r="Q552" s="62"/>
    </row>
    <row r="553">
      <c r="P553" s="62"/>
      <c r="Q553" s="62"/>
    </row>
    <row r="554">
      <c r="P554" s="62"/>
      <c r="Q554" s="62"/>
    </row>
    <row r="555">
      <c r="P555" s="62"/>
      <c r="Q555" s="62"/>
    </row>
    <row r="556">
      <c r="P556" s="62"/>
      <c r="Q556" s="62"/>
    </row>
    <row r="557">
      <c r="P557" s="62"/>
      <c r="Q557" s="62"/>
    </row>
    <row r="558">
      <c r="P558" s="62"/>
      <c r="Q558" s="62"/>
    </row>
    <row r="559">
      <c r="P559" s="62"/>
      <c r="Q559" s="62"/>
    </row>
    <row r="560">
      <c r="P560" s="62"/>
      <c r="Q560" s="62"/>
    </row>
    <row r="561">
      <c r="P561" s="62"/>
      <c r="Q561" s="62"/>
    </row>
    <row r="562">
      <c r="P562" s="62"/>
      <c r="Q562" s="62"/>
    </row>
    <row r="563">
      <c r="P563" s="62"/>
      <c r="Q563" s="62"/>
    </row>
    <row r="564">
      <c r="P564" s="62"/>
      <c r="Q564" s="62"/>
    </row>
    <row r="565">
      <c r="P565" s="62"/>
      <c r="Q565" s="62"/>
    </row>
    <row r="566">
      <c r="P566" s="62"/>
      <c r="Q566" s="62"/>
    </row>
    <row r="567">
      <c r="P567" s="62"/>
      <c r="Q567" s="62"/>
    </row>
    <row r="568">
      <c r="P568" s="62"/>
      <c r="Q568" s="62"/>
    </row>
    <row r="569">
      <c r="P569" s="62"/>
      <c r="Q569" s="62"/>
    </row>
    <row r="570">
      <c r="P570" s="62"/>
      <c r="Q570" s="62"/>
    </row>
    <row r="571">
      <c r="P571" s="62"/>
      <c r="Q571" s="62"/>
    </row>
    <row r="572">
      <c r="P572" s="62"/>
      <c r="Q572" s="62"/>
    </row>
    <row r="573">
      <c r="P573" s="62"/>
      <c r="Q573" s="62"/>
    </row>
    <row r="574">
      <c r="P574" s="62"/>
      <c r="Q574" s="62"/>
    </row>
    <row r="575">
      <c r="P575" s="62"/>
      <c r="Q575" s="62"/>
    </row>
    <row r="576">
      <c r="P576" s="62"/>
      <c r="Q576" s="62"/>
    </row>
    <row r="577">
      <c r="P577" s="62"/>
      <c r="Q577" s="62"/>
    </row>
    <row r="578">
      <c r="P578" s="62"/>
      <c r="Q578" s="62"/>
    </row>
    <row r="579">
      <c r="P579" s="62"/>
      <c r="Q579" s="62"/>
    </row>
    <row r="580">
      <c r="P580" s="62"/>
      <c r="Q580" s="62"/>
    </row>
    <row r="581">
      <c r="P581" s="62"/>
      <c r="Q581" s="62"/>
    </row>
    <row r="582">
      <c r="P582" s="62"/>
      <c r="Q582" s="62"/>
    </row>
    <row r="583">
      <c r="P583" s="62"/>
      <c r="Q583" s="62"/>
    </row>
    <row r="584">
      <c r="P584" s="62"/>
      <c r="Q584" s="62"/>
    </row>
    <row r="585">
      <c r="P585" s="62"/>
      <c r="Q585" s="62"/>
    </row>
    <row r="586">
      <c r="P586" s="62"/>
      <c r="Q586" s="62"/>
    </row>
    <row r="587">
      <c r="P587" s="62"/>
      <c r="Q587" s="62"/>
    </row>
    <row r="588">
      <c r="P588" s="62"/>
      <c r="Q588" s="62"/>
    </row>
    <row r="589">
      <c r="P589" s="62"/>
      <c r="Q589" s="62"/>
    </row>
    <row r="590">
      <c r="P590" s="62"/>
      <c r="Q590" s="62"/>
    </row>
    <row r="591">
      <c r="P591" s="62"/>
      <c r="Q591" s="62"/>
    </row>
    <row r="592">
      <c r="P592" s="62"/>
      <c r="Q592" s="62"/>
    </row>
    <row r="593">
      <c r="P593" s="62"/>
      <c r="Q593" s="62"/>
    </row>
    <row r="594">
      <c r="P594" s="62"/>
      <c r="Q594" s="62"/>
    </row>
    <row r="595">
      <c r="P595" s="62"/>
      <c r="Q595" s="62"/>
    </row>
    <row r="596">
      <c r="P596" s="62"/>
      <c r="Q596" s="62"/>
    </row>
    <row r="597">
      <c r="P597" s="62"/>
      <c r="Q597" s="62"/>
    </row>
    <row r="598">
      <c r="P598" s="62"/>
      <c r="Q598" s="62"/>
    </row>
    <row r="599">
      <c r="P599" s="62"/>
      <c r="Q599" s="62"/>
    </row>
    <row r="600">
      <c r="P600" s="62"/>
      <c r="Q600" s="62"/>
    </row>
    <row r="601">
      <c r="P601" s="62"/>
      <c r="Q601" s="62"/>
    </row>
    <row r="602">
      <c r="P602" s="62"/>
      <c r="Q602" s="62"/>
    </row>
    <row r="603">
      <c r="P603" s="62"/>
      <c r="Q603" s="62"/>
    </row>
    <row r="604">
      <c r="P604" s="62"/>
      <c r="Q604" s="62"/>
    </row>
    <row r="605">
      <c r="P605" s="62"/>
      <c r="Q605" s="62"/>
    </row>
    <row r="606">
      <c r="P606" s="62"/>
      <c r="Q606" s="62"/>
    </row>
    <row r="607">
      <c r="P607" s="62"/>
      <c r="Q607" s="62"/>
    </row>
    <row r="608">
      <c r="P608" s="62"/>
      <c r="Q608" s="62"/>
    </row>
    <row r="609">
      <c r="P609" s="62"/>
      <c r="Q609" s="62"/>
    </row>
    <row r="610">
      <c r="P610" s="62"/>
      <c r="Q610" s="62"/>
    </row>
    <row r="611">
      <c r="P611" s="62"/>
      <c r="Q611" s="62"/>
    </row>
    <row r="612">
      <c r="P612" s="62"/>
      <c r="Q612" s="62"/>
    </row>
    <row r="613">
      <c r="P613" s="62"/>
      <c r="Q613" s="62"/>
    </row>
    <row r="614">
      <c r="P614" s="62"/>
      <c r="Q614" s="62"/>
    </row>
    <row r="615">
      <c r="P615" s="62"/>
      <c r="Q615" s="62"/>
    </row>
    <row r="616">
      <c r="P616" s="62"/>
      <c r="Q616" s="62"/>
    </row>
    <row r="617">
      <c r="P617" s="62"/>
      <c r="Q617" s="62"/>
    </row>
    <row r="618">
      <c r="P618" s="62"/>
      <c r="Q618" s="62"/>
    </row>
    <row r="619">
      <c r="P619" s="62"/>
      <c r="Q619" s="62"/>
    </row>
    <row r="620">
      <c r="P620" s="62"/>
      <c r="Q620" s="62"/>
    </row>
    <row r="621">
      <c r="P621" s="62"/>
      <c r="Q621" s="62"/>
    </row>
    <row r="622">
      <c r="P622" s="62"/>
      <c r="Q622" s="62"/>
    </row>
    <row r="623">
      <c r="P623" s="62"/>
      <c r="Q623" s="62"/>
    </row>
    <row r="624">
      <c r="P624" s="62"/>
      <c r="Q624" s="62"/>
    </row>
    <row r="625">
      <c r="P625" s="62"/>
      <c r="Q625" s="62"/>
    </row>
    <row r="626">
      <c r="P626" s="62"/>
      <c r="Q626" s="62"/>
    </row>
    <row r="627">
      <c r="P627" s="62"/>
      <c r="Q627" s="62"/>
    </row>
    <row r="628">
      <c r="P628" s="62"/>
      <c r="Q628" s="62"/>
    </row>
    <row r="629">
      <c r="P629" s="62"/>
      <c r="Q629" s="62"/>
    </row>
    <row r="630">
      <c r="P630" s="62"/>
      <c r="Q630" s="62"/>
    </row>
    <row r="631">
      <c r="P631" s="62"/>
      <c r="Q631" s="62"/>
    </row>
    <row r="632">
      <c r="P632" s="62"/>
      <c r="Q632" s="62"/>
    </row>
    <row r="633">
      <c r="P633" s="62"/>
      <c r="Q633" s="62"/>
    </row>
    <row r="634">
      <c r="P634" s="62"/>
      <c r="Q634" s="62"/>
    </row>
    <row r="635">
      <c r="P635" s="62"/>
      <c r="Q635" s="62"/>
    </row>
    <row r="636">
      <c r="P636" s="62"/>
      <c r="Q636" s="62"/>
    </row>
    <row r="637">
      <c r="P637" s="62"/>
      <c r="Q637" s="62"/>
    </row>
    <row r="638">
      <c r="P638" s="62"/>
      <c r="Q638" s="62"/>
    </row>
    <row r="639">
      <c r="P639" s="62"/>
      <c r="Q639" s="62"/>
    </row>
    <row r="640">
      <c r="P640" s="62"/>
      <c r="Q640" s="62"/>
    </row>
    <row r="641">
      <c r="P641" s="62"/>
      <c r="Q641" s="62"/>
    </row>
    <row r="642">
      <c r="P642" s="62"/>
      <c r="Q642" s="62"/>
    </row>
    <row r="643">
      <c r="P643" s="62"/>
      <c r="Q643" s="62"/>
    </row>
    <row r="644">
      <c r="P644" s="62"/>
      <c r="Q644" s="62"/>
    </row>
    <row r="645">
      <c r="P645" s="62"/>
      <c r="Q645" s="62"/>
    </row>
    <row r="646">
      <c r="P646" s="62"/>
      <c r="Q646" s="62"/>
    </row>
    <row r="647">
      <c r="P647" s="62"/>
      <c r="Q647" s="62"/>
    </row>
    <row r="648">
      <c r="P648" s="62"/>
      <c r="Q648" s="62"/>
    </row>
    <row r="649">
      <c r="P649" s="62"/>
      <c r="Q649" s="62"/>
    </row>
    <row r="650">
      <c r="P650" s="62"/>
      <c r="Q650" s="62"/>
    </row>
    <row r="651">
      <c r="P651" s="62"/>
      <c r="Q651" s="62"/>
    </row>
    <row r="652">
      <c r="P652" s="62"/>
      <c r="Q652" s="62"/>
    </row>
    <row r="653">
      <c r="P653" s="62"/>
      <c r="Q653" s="62"/>
    </row>
    <row r="654">
      <c r="P654" s="62"/>
      <c r="Q654" s="62"/>
    </row>
    <row r="655">
      <c r="P655" s="62"/>
      <c r="Q655" s="62"/>
    </row>
    <row r="656">
      <c r="P656" s="62"/>
      <c r="Q656" s="62"/>
    </row>
    <row r="657">
      <c r="P657" s="62"/>
      <c r="Q657" s="62"/>
    </row>
    <row r="658">
      <c r="P658" s="62"/>
      <c r="Q658" s="62"/>
    </row>
    <row r="659">
      <c r="P659" s="62"/>
      <c r="Q659" s="62"/>
    </row>
    <row r="660">
      <c r="P660" s="62"/>
      <c r="Q660" s="62"/>
    </row>
    <row r="661">
      <c r="P661" s="62"/>
      <c r="Q661" s="62"/>
    </row>
    <row r="662">
      <c r="P662" s="62"/>
      <c r="Q662" s="62"/>
    </row>
    <row r="663">
      <c r="P663" s="62"/>
      <c r="Q663" s="62"/>
    </row>
    <row r="664">
      <c r="P664" s="62"/>
      <c r="Q664" s="62"/>
    </row>
    <row r="665">
      <c r="P665" s="62"/>
      <c r="Q665" s="62"/>
    </row>
    <row r="666">
      <c r="P666" s="62"/>
      <c r="Q666" s="62"/>
    </row>
    <row r="667">
      <c r="P667" s="62"/>
      <c r="Q667" s="62"/>
    </row>
    <row r="668">
      <c r="P668" s="62"/>
      <c r="Q668" s="62"/>
    </row>
    <row r="669">
      <c r="P669" s="62"/>
      <c r="Q669" s="62"/>
    </row>
    <row r="670">
      <c r="P670" s="62"/>
      <c r="Q670" s="62"/>
    </row>
    <row r="671">
      <c r="P671" s="62"/>
      <c r="Q671" s="62"/>
    </row>
    <row r="672">
      <c r="P672" s="62"/>
      <c r="Q672" s="62"/>
    </row>
    <row r="673">
      <c r="P673" s="62"/>
      <c r="Q673" s="62"/>
    </row>
    <row r="674">
      <c r="P674" s="62"/>
      <c r="Q674" s="62"/>
    </row>
    <row r="675">
      <c r="P675" s="62"/>
      <c r="Q675" s="62"/>
    </row>
    <row r="676">
      <c r="P676" s="62"/>
      <c r="Q676" s="62"/>
    </row>
    <row r="677">
      <c r="P677" s="62"/>
      <c r="Q677" s="62"/>
    </row>
    <row r="678">
      <c r="P678" s="62"/>
      <c r="Q678" s="62"/>
    </row>
    <row r="679">
      <c r="P679" s="62"/>
      <c r="Q679" s="62"/>
    </row>
    <row r="680">
      <c r="P680" s="62"/>
      <c r="Q680" s="62"/>
    </row>
    <row r="681">
      <c r="P681" s="62"/>
      <c r="Q681" s="62"/>
    </row>
    <row r="682">
      <c r="P682" s="62"/>
      <c r="Q682" s="62"/>
    </row>
    <row r="683">
      <c r="P683" s="62"/>
      <c r="Q683" s="62"/>
    </row>
    <row r="684">
      <c r="P684" s="62"/>
      <c r="Q684" s="62"/>
    </row>
    <row r="685">
      <c r="P685" s="62"/>
      <c r="Q685" s="62"/>
    </row>
    <row r="686">
      <c r="P686" s="62"/>
      <c r="Q686" s="62"/>
    </row>
    <row r="687">
      <c r="P687" s="62"/>
      <c r="Q687" s="62"/>
    </row>
    <row r="688">
      <c r="P688" s="62"/>
      <c r="Q688" s="62"/>
    </row>
    <row r="689">
      <c r="P689" s="62"/>
      <c r="Q689" s="62"/>
    </row>
    <row r="690">
      <c r="P690" s="62"/>
      <c r="Q690" s="62"/>
    </row>
    <row r="691">
      <c r="P691" s="62"/>
      <c r="Q691" s="62"/>
    </row>
    <row r="692">
      <c r="P692" s="62"/>
      <c r="Q692" s="62"/>
    </row>
    <row r="693">
      <c r="P693" s="62"/>
      <c r="Q693" s="62"/>
    </row>
    <row r="694">
      <c r="P694" s="62"/>
      <c r="Q694" s="62"/>
    </row>
    <row r="695">
      <c r="P695" s="62"/>
      <c r="Q695" s="62"/>
    </row>
    <row r="696">
      <c r="P696" s="62"/>
      <c r="Q696" s="62"/>
    </row>
    <row r="697">
      <c r="P697" s="62"/>
      <c r="Q697" s="62"/>
    </row>
    <row r="698">
      <c r="P698" s="62"/>
      <c r="Q698" s="62"/>
    </row>
    <row r="699">
      <c r="P699" s="62"/>
      <c r="Q699" s="62"/>
    </row>
    <row r="700">
      <c r="P700" s="62"/>
      <c r="Q700" s="62"/>
    </row>
    <row r="701">
      <c r="P701" s="62"/>
      <c r="Q701" s="62"/>
    </row>
    <row r="702">
      <c r="P702" s="62"/>
      <c r="Q702" s="62"/>
    </row>
    <row r="703">
      <c r="P703" s="62"/>
      <c r="Q703" s="62"/>
    </row>
    <row r="704">
      <c r="P704" s="62"/>
      <c r="Q704" s="62"/>
    </row>
    <row r="705">
      <c r="P705" s="62"/>
      <c r="Q705" s="62"/>
    </row>
    <row r="706">
      <c r="P706" s="62"/>
      <c r="Q706" s="62"/>
    </row>
    <row r="707">
      <c r="P707" s="62"/>
      <c r="Q707" s="62"/>
    </row>
    <row r="708">
      <c r="P708" s="62"/>
      <c r="Q708" s="62"/>
    </row>
    <row r="709">
      <c r="P709" s="62"/>
      <c r="Q709" s="62"/>
    </row>
    <row r="710">
      <c r="P710" s="62"/>
      <c r="Q710" s="62"/>
    </row>
    <row r="711">
      <c r="P711" s="62"/>
      <c r="Q711" s="62"/>
    </row>
    <row r="712">
      <c r="P712" s="62"/>
      <c r="Q712" s="62"/>
    </row>
    <row r="713">
      <c r="P713" s="62"/>
      <c r="Q713" s="62"/>
    </row>
    <row r="714">
      <c r="P714" s="62"/>
      <c r="Q714" s="62"/>
    </row>
    <row r="715">
      <c r="P715" s="62"/>
      <c r="Q715" s="62"/>
    </row>
    <row r="716">
      <c r="P716" s="62"/>
      <c r="Q716" s="62"/>
    </row>
    <row r="717">
      <c r="P717" s="62"/>
      <c r="Q717" s="62"/>
    </row>
    <row r="718">
      <c r="P718" s="62"/>
      <c r="Q718" s="62"/>
    </row>
    <row r="719">
      <c r="P719" s="62"/>
      <c r="Q719" s="62"/>
    </row>
    <row r="720">
      <c r="P720" s="62"/>
      <c r="Q720" s="62"/>
    </row>
    <row r="721">
      <c r="P721" s="62"/>
      <c r="Q721" s="62"/>
    </row>
    <row r="722">
      <c r="P722" s="62"/>
      <c r="Q722" s="62"/>
    </row>
    <row r="723">
      <c r="P723" s="62"/>
      <c r="Q723" s="62"/>
    </row>
    <row r="724">
      <c r="P724" s="62"/>
      <c r="Q724" s="62"/>
    </row>
    <row r="725">
      <c r="P725" s="62"/>
      <c r="Q725" s="62"/>
    </row>
    <row r="726">
      <c r="P726" s="62"/>
      <c r="Q726" s="62"/>
    </row>
    <row r="727">
      <c r="P727" s="62"/>
      <c r="Q727" s="62"/>
    </row>
    <row r="728">
      <c r="P728" s="62"/>
      <c r="Q728" s="62"/>
    </row>
    <row r="729">
      <c r="P729" s="62"/>
      <c r="Q729" s="62"/>
    </row>
    <row r="730">
      <c r="P730" s="62"/>
      <c r="Q730" s="62"/>
    </row>
    <row r="731">
      <c r="P731" s="62"/>
      <c r="Q731" s="62"/>
    </row>
    <row r="732">
      <c r="P732" s="62"/>
      <c r="Q732" s="62"/>
    </row>
    <row r="733">
      <c r="P733" s="62"/>
      <c r="Q733" s="62"/>
    </row>
    <row r="734">
      <c r="P734" s="62"/>
      <c r="Q734" s="62"/>
    </row>
    <row r="735">
      <c r="P735" s="62"/>
      <c r="Q735" s="62"/>
    </row>
    <row r="736">
      <c r="P736" s="62"/>
      <c r="Q736" s="62"/>
    </row>
    <row r="737">
      <c r="P737" s="62"/>
      <c r="Q737" s="62"/>
    </row>
    <row r="738">
      <c r="P738" s="62"/>
      <c r="Q738" s="62"/>
    </row>
    <row r="739">
      <c r="P739" s="62"/>
      <c r="Q739" s="62"/>
    </row>
    <row r="740">
      <c r="P740" s="62"/>
      <c r="Q740" s="62"/>
    </row>
    <row r="741">
      <c r="P741" s="62"/>
      <c r="Q741" s="62"/>
    </row>
    <row r="742">
      <c r="P742" s="62"/>
      <c r="Q742" s="62"/>
    </row>
    <row r="743">
      <c r="P743" s="62"/>
      <c r="Q743" s="62"/>
    </row>
    <row r="744">
      <c r="P744" s="62"/>
      <c r="Q744" s="62"/>
    </row>
    <row r="745">
      <c r="P745" s="62"/>
      <c r="Q745" s="62"/>
    </row>
    <row r="746">
      <c r="P746" s="62"/>
      <c r="Q746" s="62"/>
    </row>
    <row r="747">
      <c r="P747" s="62"/>
      <c r="Q747" s="62"/>
    </row>
    <row r="748">
      <c r="P748" s="62"/>
      <c r="Q748" s="62"/>
    </row>
    <row r="749">
      <c r="P749" s="62"/>
      <c r="Q749" s="62"/>
    </row>
    <row r="750">
      <c r="P750" s="62"/>
      <c r="Q750" s="62"/>
    </row>
    <row r="751">
      <c r="P751" s="62"/>
      <c r="Q751" s="62"/>
    </row>
    <row r="752">
      <c r="P752" s="62"/>
      <c r="Q752" s="62"/>
    </row>
    <row r="753">
      <c r="P753" s="62"/>
      <c r="Q753" s="62"/>
    </row>
    <row r="754">
      <c r="P754" s="62"/>
      <c r="Q754" s="62"/>
    </row>
    <row r="755">
      <c r="P755" s="62"/>
      <c r="Q755" s="62"/>
    </row>
    <row r="756">
      <c r="P756" s="62"/>
      <c r="Q756" s="62"/>
    </row>
    <row r="757">
      <c r="P757" s="62"/>
      <c r="Q757" s="62"/>
    </row>
    <row r="758">
      <c r="P758" s="62"/>
      <c r="Q758" s="62"/>
    </row>
    <row r="759">
      <c r="P759" s="62"/>
      <c r="Q759" s="62"/>
    </row>
    <row r="760">
      <c r="P760" s="62"/>
      <c r="Q760" s="62"/>
    </row>
    <row r="761">
      <c r="P761" s="62"/>
      <c r="Q761" s="62"/>
    </row>
    <row r="762">
      <c r="P762" s="62"/>
      <c r="Q762" s="62"/>
    </row>
    <row r="763">
      <c r="P763" s="62"/>
      <c r="Q763" s="62"/>
    </row>
    <row r="764">
      <c r="P764" s="62"/>
      <c r="Q764" s="62"/>
    </row>
    <row r="765">
      <c r="P765" s="62"/>
      <c r="Q765" s="62"/>
    </row>
    <row r="766">
      <c r="P766" s="62"/>
      <c r="Q766" s="62"/>
    </row>
    <row r="767">
      <c r="P767" s="62"/>
      <c r="Q767" s="62"/>
    </row>
    <row r="768">
      <c r="P768" s="62"/>
      <c r="Q768" s="62"/>
    </row>
    <row r="769">
      <c r="P769" s="62"/>
      <c r="Q769" s="62"/>
    </row>
    <row r="770">
      <c r="P770" s="62"/>
      <c r="Q770" s="62"/>
    </row>
    <row r="771">
      <c r="P771" s="62"/>
      <c r="Q771" s="62"/>
    </row>
    <row r="772">
      <c r="P772" s="62"/>
      <c r="Q772" s="62"/>
    </row>
    <row r="773">
      <c r="P773" s="62"/>
      <c r="Q773" s="62"/>
    </row>
    <row r="774">
      <c r="P774" s="62"/>
      <c r="Q774" s="62"/>
    </row>
    <row r="775">
      <c r="P775" s="62"/>
      <c r="Q775" s="62"/>
    </row>
    <row r="776">
      <c r="P776" s="62"/>
      <c r="Q776" s="62"/>
    </row>
    <row r="777">
      <c r="P777" s="62"/>
      <c r="Q777" s="62"/>
    </row>
    <row r="778">
      <c r="P778" s="62"/>
      <c r="Q778" s="62"/>
    </row>
    <row r="779">
      <c r="P779" s="62"/>
      <c r="Q779" s="62"/>
    </row>
    <row r="780">
      <c r="P780" s="62"/>
      <c r="Q780" s="62"/>
    </row>
    <row r="781">
      <c r="P781" s="62"/>
      <c r="Q781" s="62"/>
    </row>
    <row r="782">
      <c r="P782" s="62"/>
      <c r="Q782" s="62"/>
    </row>
    <row r="783">
      <c r="P783" s="62"/>
      <c r="Q783" s="62"/>
    </row>
    <row r="784">
      <c r="P784" s="62"/>
      <c r="Q784" s="62"/>
    </row>
    <row r="785">
      <c r="P785" s="62"/>
      <c r="Q785" s="62"/>
    </row>
    <row r="786">
      <c r="P786" s="62"/>
      <c r="Q786" s="62"/>
    </row>
    <row r="787">
      <c r="P787" s="62"/>
      <c r="Q787" s="62"/>
    </row>
    <row r="788">
      <c r="P788" s="62"/>
      <c r="Q788" s="62"/>
    </row>
    <row r="789">
      <c r="P789" s="62"/>
      <c r="Q789" s="62"/>
    </row>
    <row r="790">
      <c r="P790" s="62"/>
      <c r="Q790" s="62"/>
    </row>
    <row r="791">
      <c r="P791" s="62"/>
      <c r="Q791" s="62"/>
    </row>
    <row r="792">
      <c r="P792" s="62"/>
      <c r="Q792" s="62"/>
    </row>
    <row r="793">
      <c r="P793" s="62"/>
      <c r="Q793" s="62"/>
    </row>
    <row r="794">
      <c r="P794" s="62"/>
      <c r="Q794" s="62"/>
    </row>
    <row r="795">
      <c r="P795" s="62"/>
      <c r="Q795" s="62"/>
    </row>
    <row r="796">
      <c r="P796" s="62"/>
      <c r="Q796" s="62"/>
    </row>
    <row r="797">
      <c r="P797" s="62"/>
      <c r="Q797" s="62"/>
    </row>
    <row r="798">
      <c r="P798" s="62"/>
      <c r="Q798" s="62"/>
    </row>
    <row r="799">
      <c r="P799" s="62"/>
      <c r="Q799" s="62"/>
    </row>
    <row r="800">
      <c r="P800" s="62"/>
      <c r="Q800" s="62"/>
    </row>
    <row r="801">
      <c r="P801" s="62"/>
      <c r="Q801" s="62"/>
    </row>
    <row r="802">
      <c r="P802" s="62"/>
      <c r="Q802" s="62"/>
    </row>
    <row r="803">
      <c r="P803" s="62"/>
      <c r="Q803" s="62"/>
    </row>
    <row r="804">
      <c r="P804" s="62"/>
      <c r="Q804" s="62"/>
    </row>
    <row r="805">
      <c r="P805" s="62"/>
      <c r="Q805" s="62"/>
    </row>
    <row r="806">
      <c r="P806" s="62"/>
      <c r="Q806" s="62"/>
    </row>
    <row r="807">
      <c r="P807" s="62"/>
      <c r="Q807" s="62"/>
    </row>
    <row r="808">
      <c r="P808" s="62"/>
      <c r="Q808" s="62"/>
    </row>
    <row r="809">
      <c r="P809" s="62"/>
      <c r="Q809" s="62"/>
    </row>
    <row r="810">
      <c r="P810" s="62"/>
      <c r="Q810" s="62"/>
    </row>
    <row r="811">
      <c r="P811" s="62"/>
      <c r="Q811" s="62"/>
    </row>
    <row r="812">
      <c r="P812" s="62"/>
      <c r="Q812" s="62"/>
    </row>
    <row r="813">
      <c r="P813" s="62"/>
      <c r="Q813" s="62"/>
    </row>
    <row r="814">
      <c r="P814" s="62"/>
      <c r="Q814" s="62"/>
    </row>
    <row r="815">
      <c r="P815" s="62"/>
      <c r="Q815" s="62"/>
    </row>
    <row r="816">
      <c r="P816" s="62"/>
      <c r="Q816" s="62"/>
    </row>
    <row r="817">
      <c r="P817" s="62"/>
      <c r="Q817" s="62"/>
    </row>
    <row r="818">
      <c r="P818" s="62"/>
      <c r="Q818" s="62"/>
    </row>
    <row r="819">
      <c r="P819" s="62"/>
      <c r="Q819" s="62"/>
    </row>
    <row r="820">
      <c r="P820" s="62"/>
      <c r="Q820" s="62"/>
    </row>
    <row r="821">
      <c r="P821" s="62"/>
      <c r="Q821" s="62"/>
    </row>
    <row r="822">
      <c r="P822" s="62"/>
      <c r="Q822" s="62"/>
    </row>
    <row r="823">
      <c r="P823" s="62"/>
      <c r="Q823" s="62"/>
    </row>
    <row r="824">
      <c r="P824" s="62"/>
      <c r="Q824" s="62"/>
    </row>
    <row r="825">
      <c r="P825" s="62"/>
      <c r="Q825" s="62"/>
    </row>
    <row r="826">
      <c r="P826" s="62"/>
      <c r="Q826" s="62"/>
    </row>
    <row r="827">
      <c r="P827" s="62"/>
      <c r="Q827" s="62"/>
    </row>
    <row r="828">
      <c r="P828" s="62"/>
      <c r="Q828" s="62"/>
    </row>
    <row r="829">
      <c r="P829" s="62"/>
      <c r="Q829" s="62"/>
    </row>
    <row r="830">
      <c r="P830" s="62"/>
      <c r="Q830" s="62"/>
    </row>
    <row r="831">
      <c r="P831" s="62"/>
      <c r="Q831" s="62"/>
    </row>
    <row r="832">
      <c r="P832" s="62"/>
      <c r="Q832" s="62"/>
    </row>
    <row r="833">
      <c r="P833" s="62"/>
      <c r="Q833" s="62"/>
    </row>
    <row r="834">
      <c r="P834" s="62"/>
      <c r="Q834" s="62"/>
    </row>
    <row r="835">
      <c r="P835" s="62"/>
      <c r="Q835" s="62"/>
    </row>
    <row r="836">
      <c r="P836" s="62"/>
      <c r="Q836" s="62"/>
    </row>
    <row r="837">
      <c r="P837" s="62"/>
      <c r="Q837" s="62"/>
    </row>
    <row r="838">
      <c r="P838" s="62"/>
      <c r="Q838" s="62"/>
    </row>
    <row r="839">
      <c r="P839" s="62"/>
      <c r="Q839" s="62"/>
    </row>
    <row r="840">
      <c r="P840" s="62"/>
      <c r="Q840" s="62"/>
    </row>
    <row r="841">
      <c r="P841" s="62"/>
      <c r="Q841" s="62"/>
    </row>
    <row r="842">
      <c r="P842" s="62"/>
      <c r="Q842" s="62"/>
    </row>
    <row r="843">
      <c r="P843" s="62"/>
      <c r="Q843" s="62"/>
    </row>
    <row r="844">
      <c r="P844" s="62"/>
      <c r="Q844" s="62"/>
    </row>
    <row r="845">
      <c r="P845" s="62"/>
      <c r="Q845" s="62"/>
    </row>
    <row r="846">
      <c r="P846" s="62"/>
      <c r="Q846" s="62"/>
    </row>
    <row r="847">
      <c r="P847" s="62"/>
      <c r="Q847" s="62"/>
    </row>
    <row r="848">
      <c r="P848" s="62"/>
      <c r="Q848" s="62"/>
    </row>
    <row r="849">
      <c r="P849" s="62"/>
      <c r="Q849" s="62"/>
    </row>
    <row r="850">
      <c r="P850" s="62"/>
      <c r="Q850" s="62"/>
    </row>
    <row r="851">
      <c r="P851" s="62"/>
      <c r="Q851" s="62"/>
    </row>
    <row r="852">
      <c r="P852" s="62"/>
      <c r="Q852" s="62"/>
    </row>
    <row r="853">
      <c r="P853" s="62"/>
      <c r="Q853" s="62"/>
    </row>
    <row r="854">
      <c r="P854" s="62"/>
      <c r="Q854" s="62"/>
    </row>
    <row r="855">
      <c r="P855" s="62"/>
      <c r="Q855" s="62"/>
    </row>
    <row r="856">
      <c r="P856" s="62"/>
      <c r="Q856" s="62"/>
    </row>
    <row r="857">
      <c r="P857" s="62"/>
      <c r="Q857" s="62"/>
    </row>
    <row r="858">
      <c r="P858" s="62"/>
      <c r="Q858" s="62"/>
    </row>
    <row r="859">
      <c r="P859" s="62"/>
      <c r="Q859" s="62"/>
    </row>
    <row r="860">
      <c r="P860" s="62"/>
      <c r="Q860" s="62"/>
    </row>
    <row r="861">
      <c r="P861" s="62"/>
      <c r="Q861" s="62"/>
    </row>
    <row r="862">
      <c r="P862" s="62"/>
      <c r="Q862" s="62"/>
    </row>
    <row r="863">
      <c r="P863" s="62"/>
      <c r="Q863" s="62"/>
    </row>
    <row r="864">
      <c r="P864" s="62"/>
      <c r="Q864" s="62"/>
    </row>
    <row r="865">
      <c r="P865" s="62"/>
      <c r="Q865" s="62"/>
    </row>
    <row r="866">
      <c r="P866" s="62"/>
      <c r="Q866" s="62"/>
    </row>
    <row r="867">
      <c r="P867" s="62"/>
      <c r="Q867" s="62"/>
    </row>
    <row r="868">
      <c r="P868" s="62"/>
      <c r="Q868" s="62"/>
    </row>
    <row r="869">
      <c r="P869" s="62"/>
      <c r="Q869" s="62"/>
    </row>
    <row r="870">
      <c r="P870" s="62"/>
      <c r="Q870" s="62"/>
    </row>
    <row r="871">
      <c r="P871" s="62"/>
      <c r="Q871" s="62"/>
    </row>
    <row r="872">
      <c r="P872" s="62"/>
      <c r="Q872" s="62"/>
    </row>
    <row r="873">
      <c r="P873" s="62"/>
      <c r="Q873" s="62"/>
    </row>
    <row r="874">
      <c r="P874" s="62"/>
      <c r="Q874" s="62"/>
    </row>
    <row r="875">
      <c r="P875" s="62"/>
      <c r="Q875" s="62"/>
    </row>
    <row r="876">
      <c r="P876" s="62"/>
      <c r="Q876" s="62"/>
    </row>
    <row r="877">
      <c r="P877" s="62"/>
      <c r="Q877" s="62"/>
    </row>
    <row r="878">
      <c r="P878" s="62"/>
      <c r="Q878" s="62"/>
    </row>
    <row r="879">
      <c r="P879" s="62"/>
      <c r="Q879" s="62"/>
    </row>
    <row r="880">
      <c r="P880" s="62"/>
      <c r="Q880" s="62"/>
    </row>
    <row r="881">
      <c r="P881" s="62"/>
      <c r="Q881" s="62"/>
    </row>
    <row r="882">
      <c r="P882" s="62"/>
      <c r="Q882" s="62"/>
    </row>
    <row r="883">
      <c r="P883" s="62"/>
      <c r="Q883" s="62"/>
    </row>
    <row r="884">
      <c r="P884" s="62"/>
      <c r="Q884" s="62"/>
    </row>
    <row r="885">
      <c r="P885" s="62"/>
      <c r="Q885" s="62"/>
    </row>
    <row r="886">
      <c r="P886" s="62"/>
      <c r="Q886" s="62"/>
    </row>
    <row r="887">
      <c r="P887" s="62"/>
      <c r="Q887" s="62"/>
    </row>
    <row r="888">
      <c r="P888" s="62"/>
      <c r="Q888" s="62"/>
    </row>
    <row r="889">
      <c r="P889" s="62"/>
      <c r="Q889" s="62"/>
    </row>
    <row r="890">
      <c r="P890" s="62"/>
      <c r="Q890" s="62"/>
    </row>
    <row r="891">
      <c r="P891" s="62"/>
      <c r="Q891" s="62"/>
    </row>
    <row r="892">
      <c r="P892" s="62"/>
      <c r="Q892" s="62"/>
    </row>
    <row r="893">
      <c r="P893" s="62"/>
      <c r="Q893" s="62"/>
    </row>
    <row r="894">
      <c r="P894" s="62"/>
      <c r="Q894" s="62"/>
    </row>
    <row r="895">
      <c r="P895" s="62"/>
      <c r="Q895" s="62"/>
    </row>
    <row r="896">
      <c r="P896" s="62"/>
      <c r="Q896" s="62"/>
    </row>
    <row r="897">
      <c r="P897" s="62"/>
      <c r="Q897" s="62"/>
    </row>
    <row r="898">
      <c r="P898" s="62"/>
      <c r="Q898" s="62"/>
    </row>
    <row r="899">
      <c r="P899" s="62"/>
      <c r="Q899" s="62"/>
    </row>
    <row r="900">
      <c r="P900" s="62"/>
      <c r="Q900" s="62"/>
    </row>
    <row r="901">
      <c r="P901" s="62"/>
      <c r="Q901" s="62"/>
    </row>
    <row r="902">
      <c r="P902" s="62"/>
      <c r="Q902" s="62"/>
    </row>
    <row r="903">
      <c r="P903" s="62"/>
      <c r="Q903" s="62"/>
    </row>
    <row r="904">
      <c r="P904" s="62"/>
      <c r="Q904" s="62"/>
    </row>
    <row r="905">
      <c r="P905" s="62"/>
      <c r="Q905" s="62"/>
    </row>
    <row r="906">
      <c r="P906" s="62"/>
      <c r="Q906" s="62"/>
    </row>
    <row r="907">
      <c r="P907" s="62"/>
      <c r="Q907" s="62"/>
    </row>
    <row r="908">
      <c r="P908" s="62"/>
      <c r="Q908" s="62"/>
    </row>
    <row r="909">
      <c r="P909" s="62"/>
      <c r="Q909" s="62"/>
    </row>
    <row r="910">
      <c r="P910" s="62"/>
      <c r="Q910" s="62"/>
    </row>
    <row r="911">
      <c r="P911" s="62"/>
      <c r="Q911" s="62"/>
    </row>
    <row r="912">
      <c r="P912" s="62"/>
      <c r="Q912" s="62"/>
    </row>
    <row r="913">
      <c r="P913" s="62"/>
      <c r="Q913" s="62"/>
    </row>
    <row r="914">
      <c r="P914" s="62"/>
      <c r="Q914" s="62"/>
    </row>
    <row r="915">
      <c r="P915" s="62"/>
      <c r="Q915" s="62"/>
    </row>
    <row r="916">
      <c r="P916" s="62"/>
      <c r="Q916" s="62"/>
    </row>
    <row r="917">
      <c r="P917" s="62"/>
      <c r="Q917" s="62"/>
    </row>
    <row r="918">
      <c r="P918" s="62"/>
      <c r="Q918" s="62"/>
    </row>
    <row r="919">
      <c r="P919" s="62"/>
      <c r="Q919" s="62"/>
    </row>
    <row r="920">
      <c r="P920" s="62"/>
      <c r="Q920" s="62"/>
    </row>
    <row r="921">
      <c r="P921" s="62"/>
      <c r="Q921" s="62"/>
    </row>
    <row r="922">
      <c r="P922" s="62"/>
      <c r="Q922" s="62"/>
    </row>
    <row r="923">
      <c r="P923" s="62"/>
      <c r="Q923" s="62"/>
    </row>
    <row r="924">
      <c r="P924" s="62"/>
      <c r="Q924" s="62"/>
    </row>
    <row r="925">
      <c r="P925" s="62"/>
      <c r="Q925" s="62"/>
    </row>
    <row r="926">
      <c r="P926" s="62"/>
      <c r="Q926" s="62"/>
    </row>
    <row r="927">
      <c r="P927" s="62"/>
      <c r="Q927" s="62"/>
    </row>
    <row r="928">
      <c r="P928" s="62"/>
      <c r="Q928" s="62"/>
    </row>
    <row r="929">
      <c r="P929" s="62"/>
      <c r="Q929" s="62"/>
    </row>
    <row r="930">
      <c r="P930" s="62"/>
      <c r="Q930" s="62"/>
    </row>
    <row r="931">
      <c r="P931" s="62"/>
      <c r="Q931" s="62"/>
    </row>
    <row r="932">
      <c r="P932" s="62"/>
      <c r="Q932" s="62"/>
    </row>
    <row r="933">
      <c r="P933" s="62"/>
      <c r="Q933" s="62"/>
    </row>
    <row r="934">
      <c r="P934" s="62"/>
      <c r="Q934" s="62"/>
    </row>
    <row r="935">
      <c r="P935" s="62"/>
      <c r="Q935" s="62"/>
    </row>
    <row r="936">
      <c r="P936" s="62"/>
      <c r="Q936" s="62"/>
    </row>
    <row r="937">
      <c r="P937" s="62"/>
      <c r="Q937" s="62"/>
    </row>
    <row r="938">
      <c r="P938" s="62"/>
      <c r="Q938" s="62"/>
    </row>
    <row r="939">
      <c r="P939" s="62"/>
      <c r="Q939" s="62"/>
    </row>
    <row r="940">
      <c r="P940" s="62"/>
      <c r="Q940" s="62"/>
    </row>
    <row r="941">
      <c r="P941" s="62"/>
      <c r="Q941" s="62"/>
    </row>
    <row r="942">
      <c r="P942" s="62"/>
      <c r="Q942" s="62"/>
    </row>
    <row r="943">
      <c r="P943" s="62"/>
      <c r="Q943" s="62"/>
    </row>
    <row r="944">
      <c r="P944" s="62"/>
      <c r="Q944" s="62"/>
    </row>
    <row r="945">
      <c r="P945" s="62"/>
      <c r="Q945" s="62"/>
    </row>
    <row r="946">
      <c r="P946" s="62"/>
      <c r="Q946" s="62"/>
    </row>
    <row r="947">
      <c r="P947" s="62"/>
      <c r="Q947" s="62"/>
    </row>
    <row r="948">
      <c r="P948" s="62"/>
      <c r="Q948" s="62"/>
    </row>
    <row r="949">
      <c r="P949" s="62"/>
      <c r="Q949" s="62"/>
    </row>
    <row r="950">
      <c r="P950" s="62"/>
      <c r="Q950" s="62"/>
    </row>
    <row r="951">
      <c r="P951" s="62"/>
      <c r="Q951" s="62"/>
    </row>
    <row r="952">
      <c r="P952" s="62"/>
      <c r="Q952" s="62"/>
    </row>
    <row r="953">
      <c r="P953" s="62"/>
      <c r="Q953" s="62"/>
    </row>
    <row r="954">
      <c r="P954" s="62"/>
      <c r="Q954" s="62"/>
    </row>
    <row r="955">
      <c r="P955" s="62"/>
      <c r="Q955" s="62"/>
    </row>
    <row r="956">
      <c r="P956" s="62"/>
      <c r="Q956" s="62"/>
    </row>
    <row r="957">
      <c r="P957" s="62"/>
      <c r="Q957" s="62"/>
    </row>
    <row r="958">
      <c r="P958" s="62"/>
      <c r="Q958" s="62"/>
    </row>
    <row r="959">
      <c r="P959" s="62"/>
      <c r="Q959" s="62"/>
    </row>
    <row r="960">
      <c r="P960" s="62"/>
      <c r="Q960" s="62"/>
    </row>
    <row r="961">
      <c r="P961" s="62"/>
      <c r="Q961" s="62"/>
    </row>
    <row r="962">
      <c r="P962" s="62"/>
      <c r="Q962" s="62"/>
    </row>
    <row r="963">
      <c r="P963" s="62"/>
      <c r="Q963" s="62"/>
    </row>
    <row r="964">
      <c r="P964" s="62"/>
      <c r="Q964" s="62"/>
    </row>
    <row r="965">
      <c r="P965" s="62"/>
      <c r="Q965" s="62"/>
    </row>
    <row r="966">
      <c r="P966" s="62"/>
      <c r="Q966" s="62"/>
    </row>
    <row r="967">
      <c r="P967" s="62"/>
      <c r="Q967" s="62"/>
    </row>
    <row r="968">
      <c r="P968" s="62"/>
      <c r="Q968" s="62"/>
    </row>
    <row r="969">
      <c r="P969" s="62"/>
      <c r="Q969" s="62"/>
    </row>
    <row r="970">
      <c r="P970" s="62"/>
      <c r="Q970" s="62"/>
    </row>
    <row r="971">
      <c r="P971" s="62"/>
      <c r="Q971" s="62"/>
    </row>
    <row r="972">
      <c r="P972" s="62"/>
      <c r="Q972" s="62"/>
    </row>
    <row r="973">
      <c r="P973" s="62"/>
      <c r="Q973" s="62"/>
    </row>
    <row r="974">
      <c r="P974" s="62"/>
      <c r="Q974" s="62"/>
    </row>
    <row r="975">
      <c r="P975" s="62"/>
      <c r="Q975" s="62"/>
    </row>
    <row r="976">
      <c r="P976" s="62"/>
      <c r="Q976" s="62"/>
    </row>
    <row r="977">
      <c r="P977" s="62"/>
      <c r="Q977" s="62"/>
    </row>
    <row r="978">
      <c r="P978" s="62"/>
      <c r="Q978" s="62"/>
    </row>
    <row r="979">
      <c r="P979" s="62"/>
      <c r="Q979" s="62"/>
    </row>
    <row r="980">
      <c r="P980" s="62"/>
      <c r="Q980" s="62"/>
    </row>
    <row r="981">
      <c r="P981" s="62"/>
      <c r="Q981" s="62"/>
    </row>
    <row r="982">
      <c r="P982" s="62"/>
      <c r="Q982" s="62"/>
    </row>
    <row r="983">
      <c r="P983" s="62"/>
      <c r="Q983" s="62"/>
    </row>
    <row r="984">
      <c r="P984" s="62"/>
      <c r="Q984" s="62"/>
    </row>
    <row r="985">
      <c r="P985" s="62"/>
      <c r="Q985" s="62"/>
    </row>
    <row r="986">
      <c r="P986" s="62"/>
      <c r="Q986" s="62"/>
    </row>
    <row r="987">
      <c r="P987" s="62"/>
      <c r="Q987" s="62"/>
    </row>
    <row r="988">
      <c r="P988" s="62"/>
      <c r="Q988" s="62"/>
    </row>
    <row r="989">
      <c r="P989" s="62"/>
      <c r="Q989" s="62"/>
    </row>
    <row r="990">
      <c r="P990" s="62"/>
      <c r="Q990" s="62"/>
    </row>
    <row r="991">
      <c r="P991" s="62"/>
      <c r="Q991" s="62"/>
    </row>
    <row r="992">
      <c r="P992" s="62"/>
      <c r="Q992" s="62"/>
    </row>
    <row r="993">
      <c r="P993" s="62"/>
      <c r="Q993" s="62"/>
    </row>
    <row r="994">
      <c r="P994" s="62"/>
      <c r="Q994" s="62"/>
    </row>
    <row r="995">
      <c r="P995" s="62"/>
      <c r="Q995" s="62"/>
    </row>
    <row r="996">
      <c r="P996" s="62"/>
      <c r="Q996" s="62"/>
    </row>
    <row r="997">
      <c r="P997" s="62"/>
      <c r="Q997" s="62"/>
    </row>
    <row r="998">
      <c r="P998" s="62"/>
      <c r="Q998" s="62"/>
    </row>
    <row r="999">
      <c r="P999" s="62"/>
      <c r="Q999" s="62"/>
    </row>
    <row r="1000">
      <c r="P1000" s="62"/>
      <c r="Q1000" s="62"/>
    </row>
  </sheetData>
  <mergeCells count="24">
    <mergeCell ref="O118:O169"/>
    <mergeCell ref="P148:Q148"/>
    <mergeCell ref="G117:J117"/>
    <mergeCell ref="O117:AA117"/>
    <mergeCell ref="P118:Z118"/>
    <mergeCell ref="AA118:AA169"/>
    <mergeCell ref="S121:T121"/>
    <mergeCell ref="J126:J127"/>
    <mergeCell ref="Y139:Z139"/>
    <mergeCell ref="Y148:Z148"/>
    <mergeCell ref="V121:W121"/>
    <mergeCell ref="Y121:Z121"/>
    <mergeCell ref="F126:F127"/>
    <mergeCell ref="G126:G127"/>
    <mergeCell ref="H126:H127"/>
    <mergeCell ref="I126:I127"/>
    <mergeCell ref="P121:Q121"/>
    <mergeCell ref="P130:Q130"/>
    <mergeCell ref="S130:T130"/>
    <mergeCell ref="V130:W130"/>
    <mergeCell ref="S139:T139"/>
    <mergeCell ref="V139:W139"/>
    <mergeCell ref="S148:T148"/>
    <mergeCell ref="V148:W1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2">
      <c r="B2" s="33" t="s">
        <v>58</v>
      </c>
      <c r="E2" s="33" t="s">
        <v>60</v>
      </c>
      <c r="H2" s="33" t="s">
        <v>61</v>
      </c>
      <c r="K2" s="33" t="s">
        <v>62</v>
      </c>
    </row>
    <row r="3">
      <c r="B3" s="35"/>
    </row>
    <row r="4">
      <c r="B4" s="37" t="s">
        <v>64</v>
      </c>
      <c r="C4" s="39"/>
      <c r="E4" s="37" t="s">
        <v>64</v>
      </c>
      <c r="F4" s="39"/>
      <c r="H4" s="37" t="s">
        <v>69</v>
      </c>
      <c r="I4" s="39"/>
      <c r="K4" s="37" t="s">
        <v>69</v>
      </c>
      <c r="L4" s="39"/>
    </row>
    <row r="5">
      <c r="B5" s="42" t="s">
        <v>73</v>
      </c>
      <c r="C5" s="42">
        <v>87.0</v>
      </c>
      <c r="E5" s="33" t="s">
        <v>73</v>
      </c>
      <c r="F5" s="33">
        <v>63.0</v>
      </c>
      <c r="H5" s="33" t="s">
        <v>73</v>
      </c>
      <c r="I5" s="33">
        <v>314.0</v>
      </c>
      <c r="K5" s="33" t="s">
        <v>73</v>
      </c>
      <c r="L5" s="33">
        <v>311.0</v>
      </c>
    </row>
    <row r="6">
      <c r="B6" s="33" t="s">
        <v>74</v>
      </c>
      <c r="C6" s="33">
        <v>6.0</v>
      </c>
      <c r="E6" s="33" t="s">
        <v>74</v>
      </c>
      <c r="F6" s="33">
        <v>3.0</v>
      </c>
      <c r="H6" s="33" t="s">
        <v>74</v>
      </c>
      <c r="I6" s="33">
        <v>26.0</v>
      </c>
      <c r="K6" s="33" t="s">
        <v>74</v>
      </c>
      <c r="L6" s="33">
        <v>25.0</v>
      </c>
    </row>
    <row r="7">
      <c r="B7" s="33" t="s">
        <v>75</v>
      </c>
      <c r="C7" s="33">
        <v>5.0</v>
      </c>
      <c r="E7" s="33" t="s">
        <v>75</v>
      </c>
      <c r="F7" s="33">
        <v>5.0</v>
      </c>
      <c r="H7" s="33" t="s">
        <v>75</v>
      </c>
      <c r="I7" s="33">
        <v>1.5</v>
      </c>
      <c r="K7" s="33" t="s">
        <v>75</v>
      </c>
      <c r="L7" s="33">
        <v>2.5</v>
      </c>
    </row>
    <row r="8">
      <c r="B8" s="33" t="s">
        <v>77</v>
      </c>
      <c r="C8" s="33">
        <v>3.2</v>
      </c>
      <c r="E8" s="33" t="s">
        <v>77</v>
      </c>
      <c r="F8" s="33">
        <v>3.8</v>
      </c>
      <c r="H8" s="33" t="s">
        <v>77</v>
      </c>
      <c r="I8" s="33">
        <v>20.0</v>
      </c>
      <c r="K8" s="33" t="s">
        <v>77</v>
      </c>
      <c r="L8" s="33">
        <v>19.0</v>
      </c>
    </row>
    <row r="11">
      <c r="B11" s="33" t="s">
        <v>78</v>
      </c>
      <c r="E11" s="33" t="s">
        <v>79</v>
      </c>
      <c r="H11" s="33" t="s">
        <v>80</v>
      </c>
      <c r="K11" s="47" t="s">
        <v>81</v>
      </c>
      <c r="L11" s="49"/>
    </row>
    <row r="12">
      <c r="K12" s="49"/>
      <c r="L12" s="49"/>
    </row>
    <row r="13">
      <c r="B13" s="37" t="s">
        <v>69</v>
      </c>
      <c r="C13" s="39"/>
      <c r="E13" s="37" t="s">
        <v>64</v>
      </c>
      <c r="F13" s="39"/>
      <c r="H13" s="37" t="s">
        <v>69</v>
      </c>
      <c r="I13" s="39"/>
      <c r="K13" s="50" t="s">
        <v>69</v>
      </c>
      <c r="L13" s="39"/>
    </row>
    <row r="14">
      <c r="B14" s="51" t="s">
        <v>73</v>
      </c>
      <c r="C14" s="33">
        <v>127.0</v>
      </c>
      <c r="E14" s="51" t="s">
        <v>73</v>
      </c>
      <c r="F14" s="33">
        <v>127.0</v>
      </c>
      <c r="H14" s="51" t="s">
        <v>73</v>
      </c>
      <c r="I14" s="33">
        <v>235.0</v>
      </c>
      <c r="K14" s="53" t="s">
        <v>73</v>
      </c>
      <c r="L14" s="47">
        <v>235.0</v>
      </c>
    </row>
    <row r="15">
      <c r="B15" s="33" t="s">
        <v>74</v>
      </c>
      <c r="C15" s="42">
        <v>2.2</v>
      </c>
      <c r="E15" s="33" t="s">
        <v>74</v>
      </c>
      <c r="F15" s="42">
        <v>2.5</v>
      </c>
      <c r="H15" s="33" t="s">
        <v>74</v>
      </c>
      <c r="I15" s="42">
        <v>1.2</v>
      </c>
      <c r="K15" s="47" t="s">
        <v>74</v>
      </c>
      <c r="L15" s="54">
        <v>1.2</v>
      </c>
    </row>
    <row r="16">
      <c r="B16" s="33" t="s">
        <v>75</v>
      </c>
      <c r="C16" s="33">
        <v>22.8</v>
      </c>
      <c r="E16" s="33" t="s">
        <v>75</v>
      </c>
      <c r="F16" s="33">
        <v>20.0</v>
      </c>
      <c r="H16" s="33" t="s">
        <v>75</v>
      </c>
      <c r="I16" s="33">
        <v>50.0</v>
      </c>
      <c r="K16" s="47" t="s">
        <v>75</v>
      </c>
      <c r="L16" s="47">
        <v>50.0</v>
      </c>
    </row>
    <row r="17">
      <c r="B17" s="33" t="s">
        <v>77</v>
      </c>
      <c r="C17" s="33">
        <v>8.7</v>
      </c>
      <c r="E17" s="33" t="s">
        <v>77</v>
      </c>
      <c r="F17" s="33">
        <v>9.0</v>
      </c>
      <c r="H17" s="33" t="s">
        <v>77</v>
      </c>
      <c r="I17" s="33">
        <v>8.0</v>
      </c>
      <c r="K17" s="47" t="s">
        <v>77</v>
      </c>
      <c r="L17" s="47">
        <v>8.0</v>
      </c>
    </row>
    <row r="20">
      <c r="B20" s="47" t="s">
        <v>83</v>
      </c>
      <c r="C20" s="49"/>
      <c r="E20" s="59" t="s">
        <v>85</v>
      </c>
      <c r="F20" s="61"/>
      <c r="H20" s="59" t="s">
        <v>87</v>
      </c>
      <c r="I20" s="61"/>
      <c r="K20" s="59" t="s">
        <v>88</v>
      </c>
      <c r="L20" s="61"/>
    </row>
    <row r="21">
      <c r="B21" s="49"/>
      <c r="C21" s="49"/>
      <c r="E21" s="61"/>
      <c r="F21" s="61"/>
      <c r="H21" s="61"/>
      <c r="I21" s="61"/>
      <c r="K21" s="61"/>
      <c r="L21" s="61"/>
    </row>
    <row r="22">
      <c r="B22" s="50" t="s">
        <v>69</v>
      </c>
      <c r="C22" s="39"/>
      <c r="E22" s="37" t="s">
        <v>69</v>
      </c>
      <c r="F22" s="39"/>
      <c r="H22" s="37" t="s">
        <v>69</v>
      </c>
      <c r="I22" s="39"/>
      <c r="K22" s="37" t="s">
        <v>69</v>
      </c>
      <c r="L22" s="39"/>
    </row>
    <row r="23">
      <c r="B23" s="53" t="s">
        <v>73</v>
      </c>
      <c r="C23" s="47">
        <v>195.0</v>
      </c>
      <c r="E23" s="66" t="s">
        <v>73</v>
      </c>
      <c r="F23" s="59">
        <v>399.0</v>
      </c>
      <c r="H23" s="66" t="s">
        <v>73</v>
      </c>
      <c r="I23" s="59">
        <v>400.0</v>
      </c>
      <c r="K23" s="66" t="s">
        <v>73</v>
      </c>
      <c r="L23" s="59">
        <v>130.0</v>
      </c>
    </row>
    <row r="24">
      <c r="B24" s="47" t="s">
        <v>74</v>
      </c>
      <c r="C24" s="54">
        <v>1.2</v>
      </c>
      <c r="E24" s="59" t="s">
        <v>74</v>
      </c>
      <c r="F24" s="68">
        <v>16.0</v>
      </c>
      <c r="H24" s="59" t="s">
        <v>74</v>
      </c>
      <c r="I24" s="68">
        <v>8.2</v>
      </c>
      <c r="K24" s="59" t="s">
        <v>74</v>
      </c>
      <c r="L24" s="68">
        <v>0.2</v>
      </c>
    </row>
    <row r="25">
      <c r="B25" s="47" t="s">
        <v>75</v>
      </c>
      <c r="C25" s="47">
        <v>50.0</v>
      </c>
      <c r="E25" s="59" t="s">
        <v>75</v>
      </c>
      <c r="F25" s="59">
        <v>48.0</v>
      </c>
      <c r="H25" s="59" t="s">
        <v>75</v>
      </c>
      <c r="I25" s="59">
        <v>64.5</v>
      </c>
      <c r="K25" s="59" t="s">
        <v>75</v>
      </c>
      <c r="L25" s="59">
        <v>28.0</v>
      </c>
    </row>
    <row r="26">
      <c r="B26" s="47" t="s">
        <v>77</v>
      </c>
      <c r="C26" s="47">
        <v>8.0</v>
      </c>
      <c r="E26" s="59" t="s">
        <v>77</v>
      </c>
      <c r="F26" s="59">
        <v>30.0</v>
      </c>
      <c r="H26" s="59" t="s">
        <v>77</v>
      </c>
      <c r="I26" s="59">
        <v>20.3</v>
      </c>
      <c r="K26" s="59" t="s">
        <v>77</v>
      </c>
      <c r="L26" s="59">
        <v>2.7</v>
      </c>
    </row>
    <row r="29">
      <c r="B29" s="59" t="s">
        <v>90</v>
      </c>
      <c r="C29" s="61"/>
      <c r="E29" s="59" t="s">
        <v>91</v>
      </c>
      <c r="F29" s="61"/>
      <c r="H29" s="59" t="s">
        <v>92</v>
      </c>
      <c r="I29" s="61"/>
      <c r="K29" s="59" t="s">
        <v>93</v>
      </c>
      <c r="L29" s="61"/>
    </row>
    <row r="30">
      <c r="B30" s="61"/>
      <c r="C30" s="61"/>
      <c r="E30" s="61"/>
      <c r="F30" s="61"/>
      <c r="H30" s="61"/>
      <c r="I30" s="61"/>
      <c r="K30" s="61"/>
      <c r="L30" s="61"/>
    </row>
    <row r="31">
      <c r="B31" s="37" t="s">
        <v>69</v>
      </c>
      <c r="C31" s="39"/>
      <c r="E31" s="37" t="s">
        <v>69</v>
      </c>
      <c r="F31" s="39"/>
      <c r="H31" s="37" t="s">
        <v>69</v>
      </c>
      <c r="I31" s="39"/>
      <c r="K31" s="37" t="s">
        <v>94</v>
      </c>
      <c r="L31" s="39"/>
    </row>
    <row r="32">
      <c r="B32" s="66" t="s">
        <v>73</v>
      </c>
      <c r="C32" s="59">
        <v>53.6</v>
      </c>
      <c r="E32" s="66" t="s">
        <v>73</v>
      </c>
      <c r="F32" s="59">
        <v>287.0</v>
      </c>
      <c r="H32" s="59" t="s">
        <v>73</v>
      </c>
      <c r="I32" s="33">
        <v>209.0</v>
      </c>
      <c r="K32" s="66" t="s">
        <v>73</v>
      </c>
      <c r="L32" s="59">
        <v>64.0</v>
      </c>
    </row>
    <row r="33">
      <c r="B33" s="59" t="s">
        <v>74</v>
      </c>
      <c r="C33" s="68">
        <v>0.1</v>
      </c>
      <c r="E33" s="59" t="s">
        <v>74</v>
      </c>
      <c r="F33" s="68">
        <v>4.2</v>
      </c>
      <c r="H33" s="59" t="s">
        <v>74</v>
      </c>
      <c r="I33" s="33">
        <v>4.0</v>
      </c>
      <c r="K33" s="59" t="s">
        <v>74</v>
      </c>
      <c r="L33" s="68">
        <v>4.2</v>
      </c>
    </row>
    <row r="34">
      <c r="B34" s="59" t="s">
        <v>75</v>
      </c>
      <c r="C34" s="59">
        <v>3.2</v>
      </c>
      <c r="E34" s="59" t="s">
        <v>75</v>
      </c>
      <c r="F34" s="59">
        <v>43.34</v>
      </c>
      <c r="H34" s="59" t="s">
        <v>75</v>
      </c>
      <c r="I34" s="33">
        <v>37.0</v>
      </c>
      <c r="K34" s="59" t="s">
        <v>75</v>
      </c>
      <c r="L34" s="59">
        <v>0.4</v>
      </c>
    </row>
    <row r="35">
      <c r="B35" s="59" t="s">
        <v>77</v>
      </c>
      <c r="C35" s="59">
        <v>10.0</v>
      </c>
      <c r="E35" s="59" t="s">
        <v>77</v>
      </c>
      <c r="F35" s="59">
        <v>15.33</v>
      </c>
      <c r="H35" s="59" t="s">
        <v>77</v>
      </c>
      <c r="I35" s="33">
        <v>5.7</v>
      </c>
      <c r="K35" s="59" t="s">
        <v>77</v>
      </c>
      <c r="L35" s="59">
        <v>6.2</v>
      </c>
    </row>
  </sheetData>
  <mergeCells count="16">
    <mergeCell ref="B4:C4"/>
    <mergeCell ref="E4:F4"/>
    <mergeCell ref="H4:I4"/>
    <mergeCell ref="K4:L4"/>
    <mergeCell ref="E13:F13"/>
    <mergeCell ref="H13:I13"/>
    <mergeCell ref="K13:L13"/>
    <mergeCell ref="H31:I31"/>
    <mergeCell ref="K31:L31"/>
    <mergeCell ref="B13:C13"/>
    <mergeCell ref="B22:C22"/>
    <mergeCell ref="E22:F22"/>
    <mergeCell ref="H22:I22"/>
    <mergeCell ref="K22:L22"/>
    <mergeCell ref="B31:C31"/>
    <mergeCell ref="E31:F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15.13"/>
  </cols>
  <sheetData>
    <row r="1">
      <c r="A1" s="10" t="s">
        <v>33</v>
      </c>
      <c r="B1" s="10">
        <v>66.0</v>
      </c>
      <c r="D1" s="10" t="s">
        <v>35</v>
      </c>
      <c r="E1" s="10">
        <v>34.0</v>
      </c>
    </row>
    <row r="3">
      <c r="B3" s="6"/>
      <c r="C3" s="5" t="s">
        <v>36</v>
      </c>
      <c r="D3" s="11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</row>
    <row r="4">
      <c r="B4" s="2" t="s">
        <v>65</v>
      </c>
      <c r="C4" s="2" t="s">
        <v>66</v>
      </c>
      <c r="D4" s="2"/>
      <c r="E4" s="6">
        <f>B1*'Nutrition Master'!I2</f>
        <v>264</v>
      </c>
      <c r="F4" s="6">
        <f>B1*'Nutrition Master'!J12</f>
        <v>132</v>
      </c>
      <c r="G4" s="4" t="str">
        <f>'Nutrition Master'!B12</f>
        <v>800-1000</v>
      </c>
      <c r="H4" s="4" t="str">
        <f>'Nutrition Master'!B3</f>
        <v>30-50</v>
      </c>
      <c r="I4" s="18">
        <f>'Nutrition Master'!E3</f>
        <v>43815</v>
      </c>
    </row>
    <row r="5">
      <c r="B5" s="6"/>
      <c r="C5" s="2" t="s">
        <v>45</v>
      </c>
      <c r="D5" s="2" t="s">
        <v>46</v>
      </c>
      <c r="E5" s="6">
        <f>B1*'Nutrition Master'!I4</f>
        <v>528</v>
      </c>
      <c r="F5" s="6">
        <f>B1*'Nutrition Master'!J12</f>
        <v>132</v>
      </c>
      <c r="G5" s="4"/>
      <c r="H5" s="4" t="str">
        <f t="shared" ref="H5:I5" si="1">H4</f>
        <v>30-50</v>
      </c>
      <c r="I5" s="18">
        <f t="shared" si="1"/>
        <v>43815</v>
      </c>
    </row>
    <row r="6">
      <c r="B6" s="6"/>
      <c r="C6" s="6"/>
      <c r="D6" s="6"/>
      <c r="E6" s="6"/>
      <c r="F6" s="6"/>
      <c r="G6" s="4"/>
      <c r="H6" s="4"/>
      <c r="I6" s="4"/>
    </row>
    <row r="7">
      <c r="B7" s="6"/>
      <c r="C7" s="6"/>
      <c r="D7" s="6"/>
      <c r="E7" s="6"/>
      <c r="F7" s="6"/>
      <c r="G7" s="4"/>
      <c r="H7" s="4"/>
      <c r="I7" s="4"/>
    </row>
    <row r="8">
      <c r="B8" s="6"/>
      <c r="C8" s="6"/>
      <c r="D8" s="21" t="s">
        <v>48</v>
      </c>
      <c r="E8" s="24">
        <f t="shared" ref="E8:F8" si="2">sum(E4:E7)</f>
        <v>792</v>
      </c>
      <c r="F8" s="24">
        <f t="shared" si="2"/>
        <v>264</v>
      </c>
      <c r="G8" s="27" t="str">
        <f t="shared" ref="G8:I8" si="3">G4</f>
        <v>800-1000</v>
      </c>
      <c r="H8" s="27" t="str">
        <f t="shared" si="3"/>
        <v>30-50</v>
      </c>
      <c r="I8" s="28">
        <f t="shared" si="3"/>
        <v>43815</v>
      </c>
    </row>
    <row r="9">
      <c r="B9" s="6"/>
      <c r="C9" s="6"/>
      <c r="D9" s="6"/>
      <c r="E9" s="6"/>
      <c r="F9" s="6"/>
      <c r="G9" s="4"/>
      <c r="H9" s="4"/>
      <c r="I9" s="4"/>
    </row>
    <row r="10">
      <c r="B10" s="2" t="s">
        <v>84</v>
      </c>
      <c r="C10" s="2" t="s">
        <v>66</v>
      </c>
      <c r="D10" s="2"/>
      <c r="E10" s="6">
        <f>B1*'Nutrition Master'!I2</f>
        <v>264</v>
      </c>
      <c r="F10" s="6">
        <f>B1*'Nutrition Master'!J12</f>
        <v>132</v>
      </c>
      <c r="G10" s="4" t="str">
        <f>'Nutrition Master'!B12</f>
        <v>800-1000</v>
      </c>
      <c r="H10" s="4" t="str">
        <f>'Nutrition Master'!B3</f>
        <v>30-50</v>
      </c>
      <c r="I10" s="18">
        <f>'Nutrition Master'!E3</f>
        <v>43815</v>
      </c>
    </row>
    <row r="11">
      <c r="B11" s="6"/>
      <c r="C11" s="6"/>
      <c r="D11" s="6"/>
      <c r="E11" s="6"/>
      <c r="F11" s="6"/>
      <c r="G11" s="4"/>
      <c r="H11" s="4"/>
      <c r="I11" s="4"/>
    </row>
    <row r="12">
      <c r="B12" s="6"/>
      <c r="C12" s="6"/>
      <c r="D12" s="6"/>
      <c r="E12" s="6"/>
      <c r="F12" s="6"/>
      <c r="G12" s="4"/>
      <c r="H12" s="4"/>
      <c r="I12" s="4"/>
    </row>
    <row r="13">
      <c r="B13" s="6"/>
      <c r="C13" s="6"/>
      <c r="D13" s="21" t="s">
        <v>48</v>
      </c>
      <c r="E13" s="24">
        <f t="shared" ref="E13:F13" si="4">sum(E10:E12)</f>
        <v>264</v>
      </c>
      <c r="F13" s="24">
        <f t="shared" si="4"/>
        <v>132</v>
      </c>
      <c r="G13" s="27" t="str">
        <f t="shared" ref="G13:I13" si="5">G10</f>
        <v>800-1000</v>
      </c>
      <c r="H13" s="27" t="str">
        <f t="shared" si="5"/>
        <v>30-50</v>
      </c>
      <c r="I13" s="28">
        <f t="shared" si="5"/>
        <v>43815</v>
      </c>
    </row>
    <row r="14">
      <c r="B14" s="6"/>
      <c r="C14" s="6"/>
      <c r="D14" s="6"/>
      <c r="E14" s="6"/>
      <c r="F14" s="6"/>
      <c r="G14" s="4"/>
      <c r="H14" s="4"/>
      <c r="I14" s="4"/>
    </row>
    <row r="15">
      <c r="B15" s="6"/>
      <c r="C15" s="6"/>
      <c r="D15" s="6"/>
      <c r="E15" s="6"/>
      <c r="F15" s="6"/>
      <c r="G15" s="4"/>
      <c r="H15" s="4"/>
      <c r="I15" s="4"/>
    </row>
    <row r="16">
      <c r="B16" s="6"/>
      <c r="C16" s="6"/>
      <c r="D16" s="6"/>
      <c r="E16" s="6"/>
      <c r="F16" s="6"/>
      <c r="G16" s="4"/>
      <c r="H16" s="4"/>
      <c r="I16" s="4"/>
    </row>
    <row r="20">
      <c r="C20" s="8" t="s">
        <v>95</v>
      </c>
    </row>
    <row r="22">
      <c r="B22" s="75"/>
      <c r="C22" s="76" t="s">
        <v>97</v>
      </c>
    </row>
  </sheetData>
  <hyperlinks>
    <hyperlink display="Meeting basic nutrition needs will provide an appropriate carbohydrate intake.&#10;You will still need to allow for pre- and post-training needs, e.g. pre- and post- training snacks." location="'Baseline nutritional requiremen'!A1" ref="C22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4" max="4" width="15.13"/>
  </cols>
  <sheetData>
    <row r="1">
      <c r="A1" s="10" t="s">
        <v>33</v>
      </c>
      <c r="B1" s="10">
        <v>71.0</v>
      </c>
      <c r="D1" s="10" t="s">
        <v>35</v>
      </c>
      <c r="E1" s="10">
        <v>37.0</v>
      </c>
    </row>
    <row r="3">
      <c r="B3" s="6"/>
      <c r="C3" s="5" t="s">
        <v>36</v>
      </c>
      <c r="D3" s="11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K3" s="8" t="s">
        <v>95</v>
      </c>
    </row>
    <row r="4">
      <c r="B4" s="2" t="s">
        <v>65</v>
      </c>
      <c r="C4" s="2" t="s">
        <v>66</v>
      </c>
      <c r="D4" s="2"/>
      <c r="E4" s="6">
        <f>B1*'Nutrition Master'!I2</f>
        <v>284</v>
      </c>
      <c r="F4" s="6">
        <f>B1*'Nutrition Master'!J12</f>
        <v>142</v>
      </c>
      <c r="G4" s="4" t="str">
        <f>'Nutrition Master'!B12</f>
        <v>800-1000</v>
      </c>
      <c r="H4" s="4" t="str">
        <f>'Nutrition Master'!B3</f>
        <v>30-50</v>
      </c>
      <c r="I4" s="18">
        <f>'Nutrition Master'!E3</f>
        <v>43815</v>
      </c>
    </row>
    <row r="5">
      <c r="B5" s="6"/>
      <c r="C5" s="2" t="s">
        <v>45</v>
      </c>
      <c r="D5" s="2" t="s">
        <v>46</v>
      </c>
      <c r="E5" s="6">
        <f>B1*'Nutrition Master'!I4</f>
        <v>568</v>
      </c>
      <c r="F5" s="6">
        <f>B1*'Nutrition Master'!J12</f>
        <v>142</v>
      </c>
      <c r="G5" s="4"/>
      <c r="H5" s="4" t="str">
        <f t="shared" ref="H5:I5" si="1">H4</f>
        <v>30-50</v>
      </c>
      <c r="I5" s="18">
        <f t="shared" si="1"/>
        <v>43815</v>
      </c>
      <c r="K5" s="76" t="s">
        <v>97</v>
      </c>
    </row>
    <row r="6">
      <c r="B6" s="6"/>
      <c r="C6" s="6"/>
      <c r="D6" s="6"/>
      <c r="E6" s="6"/>
      <c r="F6" s="6"/>
      <c r="G6" s="4"/>
      <c r="H6" s="4"/>
      <c r="I6" s="4"/>
    </row>
    <row r="7">
      <c r="B7" s="6"/>
      <c r="C7" s="6"/>
      <c r="D7" s="6"/>
      <c r="E7" s="6"/>
      <c r="F7" s="6"/>
      <c r="G7" s="4"/>
      <c r="H7" s="4"/>
      <c r="I7" s="4"/>
    </row>
    <row r="8">
      <c r="B8" s="6"/>
      <c r="C8" s="6"/>
      <c r="D8" s="21" t="s">
        <v>48</v>
      </c>
      <c r="E8" s="24">
        <f t="shared" ref="E8:F8" si="2">sum(E4:E7)</f>
        <v>852</v>
      </c>
      <c r="F8" s="24">
        <f t="shared" si="2"/>
        <v>284</v>
      </c>
      <c r="G8" s="27" t="str">
        <f t="shared" ref="G8:I8" si="3">G4</f>
        <v>800-1000</v>
      </c>
      <c r="H8" s="27" t="str">
        <f t="shared" si="3"/>
        <v>30-50</v>
      </c>
      <c r="I8" s="28">
        <f t="shared" si="3"/>
        <v>43815</v>
      </c>
    </row>
    <row r="9">
      <c r="B9" s="6"/>
      <c r="C9" s="6"/>
      <c r="D9" s="6"/>
      <c r="E9" s="6"/>
      <c r="F9" s="6"/>
      <c r="G9" s="4"/>
      <c r="H9" s="4"/>
      <c r="I9" s="4"/>
    </row>
    <row r="10">
      <c r="B10" s="2" t="s">
        <v>84</v>
      </c>
      <c r="C10" s="2" t="s">
        <v>66</v>
      </c>
      <c r="D10" s="2"/>
      <c r="E10" s="6">
        <f>B1*'Nutrition Master'!I2</f>
        <v>284</v>
      </c>
      <c r="F10" s="6">
        <f>B1*'Nutrition Master'!J12</f>
        <v>142</v>
      </c>
      <c r="G10" s="4" t="str">
        <f>'Nutrition Master'!B12</f>
        <v>800-1000</v>
      </c>
      <c r="H10" s="4" t="str">
        <f>'Nutrition Master'!B3</f>
        <v>30-50</v>
      </c>
      <c r="I10" s="18">
        <f>'Nutrition Master'!E3</f>
        <v>43815</v>
      </c>
    </row>
    <row r="11">
      <c r="B11" s="6"/>
      <c r="C11" s="6"/>
      <c r="D11" s="6"/>
      <c r="E11" s="6"/>
      <c r="F11" s="6"/>
      <c r="G11" s="4"/>
      <c r="H11" s="4"/>
      <c r="I11" s="4"/>
    </row>
    <row r="12">
      <c r="B12" s="6"/>
      <c r="C12" s="6"/>
      <c r="D12" s="6"/>
      <c r="E12" s="6"/>
      <c r="F12" s="6"/>
      <c r="G12" s="4"/>
      <c r="H12" s="4"/>
      <c r="I12" s="4"/>
    </row>
    <row r="13">
      <c r="B13" s="6"/>
      <c r="C13" s="6"/>
      <c r="D13" s="21" t="s">
        <v>48</v>
      </c>
      <c r="E13" s="24">
        <f t="shared" ref="E13:F13" si="4">sum(E10:E12)</f>
        <v>284</v>
      </c>
      <c r="F13" s="24">
        <f t="shared" si="4"/>
        <v>142</v>
      </c>
      <c r="G13" s="27" t="str">
        <f t="shared" ref="G13:I13" si="5">G10</f>
        <v>800-1000</v>
      </c>
      <c r="H13" s="27" t="str">
        <f t="shared" si="5"/>
        <v>30-50</v>
      </c>
      <c r="I13" s="28">
        <f t="shared" si="5"/>
        <v>43815</v>
      </c>
    </row>
    <row r="14">
      <c r="B14" s="6"/>
      <c r="C14" s="6"/>
      <c r="D14" s="6"/>
      <c r="E14" s="6"/>
      <c r="F14" s="6"/>
      <c r="G14" s="4"/>
      <c r="H14" s="4"/>
      <c r="I14" s="4"/>
    </row>
    <row r="15">
      <c r="B15" s="2" t="s">
        <v>156</v>
      </c>
      <c r="C15" s="2" t="s">
        <v>66</v>
      </c>
      <c r="D15" s="2"/>
      <c r="E15" s="6">
        <f>B1*'Nutrition Master'!I2</f>
        <v>284</v>
      </c>
      <c r="F15" s="6">
        <f>B1*'Nutrition Master'!J12</f>
        <v>142</v>
      </c>
      <c r="G15" s="4" t="str">
        <f>'Nutrition Master'!B12</f>
        <v>800-1000</v>
      </c>
      <c r="H15" s="4" t="str">
        <f>'Nutrition Master'!B3</f>
        <v>30-50</v>
      </c>
      <c r="I15" s="18">
        <f>'Nutrition Master'!E3</f>
        <v>43815</v>
      </c>
    </row>
    <row r="16">
      <c r="B16" s="6"/>
      <c r="C16" s="2" t="s">
        <v>45</v>
      </c>
      <c r="D16" s="2" t="s">
        <v>158</v>
      </c>
      <c r="E16" s="6">
        <f>B1*'Nutrition Master'!I6</f>
        <v>710</v>
      </c>
      <c r="F16" s="6">
        <f>B1*'Nutrition Master'!J12</f>
        <v>142</v>
      </c>
      <c r="G16" s="4"/>
      <c r="H16" s="4" t="str">
        <f t="shared" ref="H16:I16" si="6">H15</f>
        <v>30-50</v>
      </c>
      <c r="I16" s="18">
        <f t="shared" si="6"/>
        <v>43815</v>
      </c>
    </row>
    <row r="17">
      <c r="B17" s="4"/>
      <c r="C17" s="6"/>
      <c r="D17" s="6"/>
      <c r="E17" s="6"/>
      <c r="F17" s="6"/>
      <c r="G17" s="4"/>
      <c r="H17" s="4"/>
      <c r="I17" s="4"/>
    </row>
    <row r="18">
      <c r="B18" s="4"/>
      <c r="C18" s="6"/>
      <c r="D18" s="21" t="s">
        <v>48</v>
      </c>
      <c r="E18" s="24">
        <f t="shared" ref="E18:F18" si="7">sum(E15:E17)</f>
        <v>994</v>
      </c>
      <c r="F18" s="24">
        <f t="shared" si="7"/>
        <v>284</v>
      </c>
      <c r="G18" s="27" t="str">
        <f t="shared" ref="G18:I18" si="8">G15</f>
        <v>800-1000</v>
      </c>
      <c r="H18" s="27" t="str">
        <f t="shared" si="8"/>
        <v>30-50</v>
      </c>
      <c r="I18" s="28">
        <f t="shared" si="8"/>
        <v>43815</v>
      </c>
    </row>
    <row r="19">
      <c r="B19" s="4"/>
      <c r="C19" s="6"/>
      <c r="D19" s="4"/>
      <c r="E19" s="4"/>
      <c r="F19" s="4"/>
      <c r="G19" s="4"/>
      <c r="H19" s="4"/>
      <c r="I19" s="4"/>
    </row>
    <row r="20">
      <c r="B20" s="2" t="s">
        <v>159</v>
      </c>
      <c r="C20" s="2" t="s">
        <v>66</v>
      </c>
      <c r="D20" s="2"/>
      <c r="E20" s="6">
        <f>B1*'Nutrition Master'!I2</f>
        <v>284</v>
      </c>
      <c r="F20" s="6">
        <f>B1*'Nutrition Master'!J12</f>
        <v>142</v>
      </c>
      <c r="G20" s="4" t="str">
        <f>'Nutrition Master'!B12</f>
        <v>800-1000</v>
      </c>
      <c r="H20" s="4" t="str">
        <f>'Nutrition Master'!B3</f>
        <v>30-50</v>
      </c>
      <c r="I20" s="18">
        <f>'Nutrition Master'!E3</f>
        <v>43815</v>
      </c>
    </row>
    <row r="21">
      <c r="B21" s="6"/>
      <c r="C21" s="2" t="s">
        <v>164</v>
      </c>
      <c r="D21" s="2" t="s">
        <v>165</v>
      </c>
      <c r="E21" s="6">
        <f>B1*'Nutrition Master'!I6</f>
        <v>710</v>
      </c>
      <c r="F21" s="6">
        <f>B1*'Nutrition Master'!J12</f>
        <v>142</v>
      </c>
      <c r="G21" s="4"/>
      <c r="H21" s="4" t="s">
        <v>123</v>
      </c>
      <c r="I21" s="18">
        <f>I20</f>
        <v>43815</v>
      </c>
    </row>
    <row r="22">
      <c r="B22" s="4"/>
      <c r="C22" s="6"/>
      <c r="D22" s="6"/>
      <c r="E22" s="6"/>
      <c r="F22" s="6"/>
      <c r="G22" s="4"/>
      <c r="H22" s="4"/>
      <c r="I22" s="4"/>
    </row>
    <row r="23">
      <c r="B23" s="4"/>
      <c r="C23" s="6"/>
      <c r="D23" s="93" t="s">
        <v>48</v>
      </c>
      <c r="E23" s="24">
        <f t="shared" ref="E23:F23" si="9">sum(E20:E22)</f>
        <v>994</v>
      </c>
      <c r="F23" s="24">
        <f t="shared" si="9"/>
        <v>284</v>
      </c>
      <c r="G23" s="27" t="s">
        <v>151</v>
      </c>
      <c r="H23" s="27" t="s">
        <v>123</v>
      </c>
      <c r="I23" s="28">
        <f>I20</f>
        <v>43815</v>
      </c>
    </row>
  </sheetData>
  <hyperlinks>
    <hyperlink display="Meeting basic nutrition needs will provide an appropriate carbohydrate intake.&#10;You will still need to allow for pre- and post-training needs, e.g. pre- and post- training snacks." location="'Baseline nutritional requiremen'!A1" ref="K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75"/>
    <col customWidth="1" min="4" max="4" width="9.63"/>
    <col customWidth="1" min="5" max="5" width="8.25"/>
    <col customWidth="1" min="7" max="7" width="28.88"/>
    <col customWidth="1" min="8" max="8" width="40.63"/>
  </cols>
  <sheetData>
    <row r="1">
      <c r="A1" s="5"/>
      <c r="B1" s="5" t="s">
        <v>112</v>
      </c>
      <c r="D1" s="5" t="s">
        <v>113</v>
      </c>
      <c r="E1" s="5" t="s">
        <v>114</v>
      </c>
      <c r="G1" s="5" t="s">
        <v>115</v>
      </c>
      <c r="H1" s="5" t="s">
        <v>116</v>
      </c>
      <c r="I1" s="5" t="s">
        <v>117</v>
      </c>
    </row>
    <row r="2">
      <c r="A2" s="2" t="s">
        <v>118</v>
      </c>
      <c r="B2" s="2" t="s">
        <v>119</v>
      </c>
      <c r="D2" s="2" t="s">
        <v>120</v>
      </c>
      <c r="E2" s="80">
        <v>43751.0</v>
      </c>
      <c r="G2" s="2" t="s">
        <v>121</v>
      </c>
      <c r="H2" s="2" t="s">
        <v>97</v>
      </c>
      <c r="I2" s="7">
        <v>4.0</v>
      </c>
    </row>
    <row r="3">
      <c r="A3" s="2" t="s">
        <v>122</v>
      </c>
      <c r="B3" s="2" t="s">
        <v>123</v>
      </c>
      <c r="D3" s="2" t="s">
        <v>124</v>
      </c>
      <c r="E3" s="80">
        <v>43815.0</v>
      </c>
      <c r="G3" s="2" t="s">
        <v>125</v>
      </c>
      <c r="H3" s="2">
        <v>5.0</v>
      </c>
      <c r="I3" s="7">
        <v>6.0</v>
      </c>
    </row>
    <row r="4">
      <c r="A4" s="2" t="s">
        <v>126</v>
      </c>
      <c r="B4" s="2" t="s">
        <v>127</v>
      </c>
      <c r="D4" s="2" t="s">
        <v>128</v>
      </c>
      <c r="E4" s="2" t="s">
        <v>129</v>
      </c>
      <c r="G4" s="2" t="s">
        <v>130</v>
      </c>
      <c r="H4" s="2">
        <v>7.0</v>
      </c>
      <c r="I4" s="7">
        <v>8.0</v>
      </c>
    </row>
    <row r="5">
      <c r="A5" s="2" t="s">
        <v>131</v>
      </c>
      <c r="B5" s="2">
        <v>70.0</v>
      </c>
      <c r="D5" s="2" t="s">
        <v>132</v>
      </c>
      <c r="E5" s="80">
        <v>43592.0</v>
      </c>
      <c r="G5" s="2" t="s">
        <v>133</v>
      </c>
      <c r="H5" s="2">
        <v>8.0</v>
      </c>
      <c r="I5" s="7">
        <v>10.0</v>
      </c>
    </row>
    <row r="6">
      <c r="A6" s="2" t="s">
        <v>134</v>
      </c>
      <c r="B6" s="2" t="s">
        <v>135</v>
      </c>
      <c r="D6" s="2" t="s">
        <v>136</v>
      </c>
      <c r="E6" s="2">
        <v>7.0</v>
      </c>
      <c r="G6" s="2" t="s">
        <v>137</v>
      </c>
      <c r="H6" s="2">
        <v>10.0</v>
      </c>
      <c r="I6" s="7">
        <v>10.0</v>
      </c>
    </row>
    <row r="7">
      <c r="A7" s="81"/>
      <c r="B7" s="81"/>
      <c r="D7" s="81"/>
      <c r="E7" s="81"/>
    </row>
    <row r="8">
      <c r="A8" s="81"/>
      <c r="D8" s="81"/>
      <c r="E8" s="81"/>
      <c r="G8" s="5" t="s">
        <v>138</v>
      </c>
      <c r="H8" s="4"/>
      <c r="I8" s="5" t="s">
        <v>139</v>
      </c>
      <c r="J8" s="1" t="s">
        <v>140</v>
      </c>
    </row>
    <row r="9">
      <c r="A9" s="81"/>
      <c r="D9" s="81"/>
      <c r="E9" s="81"/>
      <c r="G9" s="2" t="s">
        <v>141</v>
      </c>
      <c r="H9" s="2" t="s">
        <v>142</v>
      </c>
      <c r="I9" s="7">
        <v>0.8</v>
      </c>
      <c r="J9" s="7">
        <v>1.0</v>
      </c>
    </row>
    <row r="10">
      <c r="A10" s="5" t="s">
        <v>113</v>
      </c>
      <c r="B10" s="1" t="s">
        <v>143</v>
      </c>
      <c r="D10" s="81"/>
      <c r="E10" s="81"/>
      <c r="G10" s="2" t="s">
        <v>144</v>
      </c>
      <c r="H10" s="2" t="s">
        <v>145</v>
      </c>
      <c r="I10" s="7">
        <v>1.6</v>
      </c>
      <c r="J10" s="7">
        <v>1.7</v>
      </c>
    </row>
    <row r="11">
      <c r="A11" s="2" t="s">
        <v>146</v>
      </c>
      <c r="B11" s="7" t="s">
        <v>147</v>
      </c>
      <c r="D11" s="81"/>
      <c r="E11" s="81"/>
      <c r="G11" s="2" t="s">
        <v>148</v>
      </c>
      <c r="H11" s="2" t="s">
        <v>149</v>
      </c>
      <c r="I11" s="7">
        <v>1.2</v>
      </c>
      <c r="J11" s="7">
        <v>1.4</v>
      </c>
    </row>
    <row r="12">
      <c r="A12" s="2" t="s">
        <v>150</v>
      </c>
      <c r="B12" s="7" t="s">
        <v>151</v>
      </c>
      <c r="D12" s="81"/>
      <c r="E12" s="81"/>
      <c r="G12" s="2" t="s">
        <v>152</v>
      </c>
      <c r="H12" s="2" t="s">
        <v>153</v>
      </c>
      <c r="I12" s="7">
        <v>2.0</v>
      </c>
      <c r="J12" s="7">
        <v>2.0</v>
      </c>
    </row>
    <row r="13">
      <c r="A13" s="2" t="s">
        <v>154</v>
      </c>
      <c r="B13" s="7" t="s">
        <v>147</v>
      </c>
      <c r="D13" s="81"/>
      <c r="E13" s="81"/>
    </row>
    <row r="14">
      <c r="A14" s="81"/>
      <c r="B14" s="81"/>
      <c r="D14" s="81"/>
      <c r="E14" s="81"/>
    </row>
    <row r="15">
      <c r="A15" s="81"/>
      <c r="B15" s="81"/>
      <c r="D15" s="81"/>
      <c r="E15" s="81"/>
    </row>
    <row r="16">
      <c r="A16" s="81"/>
      <c r="B16" s="81"/>
      <c r="D16" s="81"/>
      <c r="E16" s="81"/>
    </row>
    <row r="17">
      <c r="A17" s="81"/>
      <c r="B17" s="81"/>
      <c r="D17" s="81"/>
      <c r="E17" s="81"/>
    </row>
    <row r="18">
      <c r="A18" s="81"/>
      <c r="B18" s="81"/>
      <c r="D18" s="81"/>
      <c r="E18" s="81"/>
    </row>
    <row r="19">
      <c r="A19" s="81"/>
      <c r="B19" s="81"/>
      <c r="D19" s="81"/>
      <c r="E19" s="81"/>
    </row>
    <row r="20">
      <c r="A20" s="81"/>
      <c r="B20" s="81"/>
      <c r="D20" s="81"/>
      <c r="E20" s="81"/>
    </row>
    <row r="21">
      <c r="A21" s="81"/>
      <c r="B21" s="81"/>
      <c r="D21" s="81"/>
      <c r="E21" s="81"/>
    </row>
    <row r="22">
      <c r="A22" s="81"/>
      <c r="B22" s="81"/>
      <c r="D22" s="81"/>
      <c r="E22" s="81"/>
    </row>
    <row r="23">
      <c r="A23" s="81"/>
      <c r="B23" s="81"/>
      <c r="D23" s="81"/>
      <c r="E23" s="81"/>
    </row>
    <row r="24">
      <c r="A24" s="81"/>
      <c r="B24" s="81"/>
      <c r="D24" s="81"/>
      <c r="E24" s="81"/>
    </row>
    <row r="25">
      <c r="A25" s="81"/>
      <c r="B25" s="81"/>
      <c r="D25" s="81"/>
      <c r="E25" s="81"/>
    </row>
    <row r="26">
      <c r="A26" s="81"/>
      <c r="B26" s="81"/>
      <c r="D26" s="81"/>
      <c r="E26" s="81"/>
    </row>
    <row r="27">
      <c r="A27" s="81"/>
      <c r="B27" s="81"/>
      <c r="D27" s="81"/>
      <c r="E27" s="81"/>
    </row>
    <row r="28">
      <c r="A28" s="81"/>
      <c r="B28" s="81"/>
      <c r="D28" s="81"/>
      <c r="E28" s="81"/>
    </row>
    <row r="29">
      <c r="A29" s="81"/>
      <c r="B29" s="81"/>
      <c r="D29" s="81"/>
      <c r="E29" s="81"/>
    </row>
    <row r="30">
      <c r="A30" s="81"/>
      <c r="B30" s="81"/>
      <c r="D30" s="81"/>
      <c r="E30" s="81"/>
    </row>
    <row r="31">
      <c r="A31" s="81"/>
      <c r="B31" s="81"/>
      <c r="D31" s="81"/>
      <c r="E31" s="81"/>
    </row>
    <row r="32">
      <c r="A32" s="81"/>
      <c r="B32" s="81"/>
      <c r="D32" s="81"/>
      <c r="E32" s="81"/>
    </row>
    <row r="33">
      <c r="A33" s="81"/>
      <c r="B33" s="81"/>
      <c r="D33" s="81"/>
      <c r="E33" s="81"/>
    </row>
    <row r="34">
      <c r="A34" s="81"/>
      <c r="B34" s="81"/>
      <c r="D34" s="81"/>
      <c r="E34" s="81"/>
    </row>
    <row r="35">
      <c r="A35" s="81"/>
      <c r="B35" s="81"/>
      <c r="D35" s="81"/>
      <c r="E35" s="81"/>
    </row>
    <row r="36">
      <c r="A36" s="81"/>
      <c r="B36" s="81"/>
      <c r="D36" s="81"/>
      <c r="E36" s="81"/>
    </row>
    <row r="37">
      <c r="A37" s="81"/>
      <c r="B37" s="81"/>
      <c r="D37" s="81"/>
      <c r="E37" s="81"/>
    </row>
    <row r="38">
      <c r="A38" s="81"/>
      <c r="B38" s="81"/>
      <c r="D38" s="81"/>
      <c r="E38" s="81"/>
    </row>
    <row r="39">
      <c r="A39" s="81"/>
      <c r="B39" s="81"/>
      <c r="D39" s="81"/>
      <c r="E39" s="81"/>
    </row>
    <row r="40">
      <c r="A40" s="81"/>
      <c r="B40" s="81"/>
      <c r="D40" s="81"/>
      <c r="E40" s="81"/>
    </row>
    <row r="41">
      <c r="A41" s="81"/>
      <c r="B41" s="81"/>
      <c r="D41" s="81"/>
      <c r="E41" s="81"/>
    </row>
    <row r="42">
      <c r="A42" s="81"/>
      <c r="B42" s="81"/>
      <c r="D42" s="81"/>
      <c r="E42" s="81"/>
    </row>
    <row r="43">
      <c r="A43" s="81"/>
      <c r="B43" s="81"/>
      <c r="D43" s="81"/>
      <c r="E43" s="81"/>
    </row>
    <row r="44">
      <c r="A44" s="81"/>
      <c r="B44" s="81"/>
      <c r="D44" s="81"/>
      <c r="E44" s="81"/>
    </row>
    <row r="45">
      <c r="A45" s="81"/>
      <c r="B45" s="81"/>
      <c r="D45" s="81"/>
      <c r="E45" s="81"/>
    </row>
    <row r="46">
      <c r="A46" s="81"/>
      <c r="B46" s="81"/>
      <c r="D46" s="81"/>
      <c r="E46" s="81"/>
    </row>
    <row r="47">
      <c r="A47" s="81"/>
      <c r="B47" s="81"/>
      <c r="D47" s="81"/>
      <c r="E47" s="81"/>
    </row>
    <row r="48">
      <c r="A48" s="81"/>
      <c r="B48" s="81"/>
      <c r="D48" s="81"/>
      <c r="E48" s="81"/>
    </row>
    <row r="49">
      <c r="A49" s="81"/>
      <c r="B49" s="81"/>
      <c r="D49" s="81"/>
      <c r="E49" s="81"/>
    </row>
    <row r="50">
      <c r="A50" s="81"/>
      <c r="B50" s="81"/>
      <c r="D50" s="81"/>
      <c r="E50" s="81"/>
    </row>
    <row r="51">
      <c r="A51" s="81"/>
      <c r="B51" s="81"/>
      <c r="D51" s="81"/>
      <c r="E51" s="81"/>
    </row>
    <row r="52">
      <c r="A52" s="81"/>
      <c r="B52" s="81"/>
      <c r="D52" s="81"/>
      <c r="E52" s="81"/>
    </row>
    <row r="53">
      <c r="A53" s="81"/>
      <c r="B53" s="81"/>
      <c r="D53" s="81"/>
      <c r="E53" s="81"/>
    </row>
    <row r="54">
      <c r="A54" s="81"/>
      <c r="B54" s="81"/>
      <c r="D54" s="81"/>
      <c r="E54" s="81"/>
    </row>
    <row r="55">
      <c r="A55" s="81"/>
      <c r="B55" s="81"/>
      <c r="D55" s="81"/>
      <c r="E55" s="81"/>
    </row>
    <row r="56">
      <c r="A56" s="81"/>
      <c r="B56" s="81"/>
      <c r="D56" s="81"/>
      <c r="E56" s="81"/>
    </row>
    <row r="57">
      <c r="A57" s="81"/>
      <c r="B57" s="81"/>
      <c r="D57" s="81"/>
      <c r="E57" s="81"/>
    </row>
    <row r="58">
      <c r="A58" s="81"/>
      <c r="B58" s="81"/>
      <c r="D58" s="81"/>
      <c r="E58" s="81"/>
    </row>
    <row r="59">
      <c r="A59" s="81"/>
      <c r="B59" s="81"/>
      <c r="D59" s="81"/>
      <c r="E59" s="81"/>
    </row>
    <row r="60">
      <c r="A60" s="81"/>
      <c r="B60" s="81"/>
      <c r="D60" s="81"/>
      <c r="E60" s="81"/>
    </row>
    <row r="61">
      <c r="A61" s="81"/>
      <c r="B61" s="81"/>
      <c r="D61" s="81"/>
      <c r="E61" s="81"/>
    </row>
    <row r="62">
      <c r="A62" s="81"/>
      <c r="B62" s="81"/>
      <c r="D62" s="81"/>
      <c r="E62" s="81"/>
    </row>
    <row r="63">
      <c r="A63" s="81"/>
      <c r="B63" s="81"/>
      <c r="D63" s="81"/>
      <c r="E63" s="81"/>
    </row>
    <row r="64">
      <c r="A64" s="81"/>
      <c r="B64" s="81"/>
      <c r="D64" s="81"/>
      <c r="E64" s="81"/>
    </row>
    <row r="65">
      <c r="A65" s="81"/>
      <c r="B65" s="81"/>
      <c r="D65" s="81"/>
      <c r="E65" s="81"/>
    </row>
    <row r="66">
      <c r="A66" s="81"/>
      <c r="B66" s="81"/>
      <c r="D66" s="81"/>
      <c r="E66" s="81"/>
    </row>
    <row r="67">
      <c r="A67" s="81"/>
      <c r="B67" s="81"/>
      <c r="D67" s="81"/>
      <c r="E67" s="81"/>
    </row>
    <row r="68">
      <c r="A68" s="81"/>
      <c r="B68" s="81"/>
      <c r="D68" s="81"/>
      <c r="E68" s="81"/>
    </row>
    <row r="69">
      <c r="A69" s="81"/>
      <c r="B69" s="81"/>
      <c r="D69" s="81"/>
      <c r="E69" s="81"/>
    </row>
    <row r="70">
      <c r="A70" s="81"/>
      <c r="B70" s="81"/>
      <c r="D70" s="81"/>
      <c r="E70" s="81"/>
    </row>
    <row r="71">
      <c r="A71" s="81"/>
      <c r="B71" s="81"/>
      <c r="D71" s="81"/>
      <c r="E71" s="81"/>
    </row>
    <row r="72">
      <c r="A72" s="81"/>
      <c r="B72" s="81"/>
      <c r="D72" s="81"/>
      <c r="E72" s="81"/>
    </row>
    <row r="73">
      <c r="A73" s="81"/>
      <c r="B73" s="81"/>
      <c r="D73" s="81"/>
      <c r="E73" s="81"/>
    </row>
    <row r="74">
      <c r="A74" s="81"/>
      <c r="B74" s="81"/>
      <c r="D74" s="81"/>
      <c r="E74" s="81"/>
    </row>
    <row r="75">
      <c r="A75" s="81"/>
      <c r="B75" s="81"/>
      <c r="D75" s="81"/>
      <c r="E75" s="81"/>
    </row>
    <row r="76">
      <c r="A76" s="81"/>
      <c r="B76" s="81"/>
      <c r="D76" s="81"/>
      <c r="E76" s="81"/>
    </row>
    <row r="77">
      <c r="A77" s="81"/>
      <c r="B77" s="81"/>
      <c r="D77" s="81"/>
      <c r="E77" s="81"/>
    </row>
    <row r="78">
      <c r="A78" s="81"/>
      <c r="B78" s="81"/>
      <c r="D78" s="81"/>
      <c r="E78" s="81"/>
    </row>
    <row r="79">
      <c r="A79" s="81"/>
      <c r="B79" s="81"/>
      <c r="D79" s="81"/>
      <c r="E79" s="81"/>
    </row>
    <row r="80">
      <c r="A80" s="81"/>
      <c r="B80" s="81"/>
      <c r="D80" s="81"/>
      <c r="E80" s="81"/>
    </row>
    <row r="81">
      <c r="A81" s="81"/>
      <c r="B81" s="81"/>
      <c r="D81" s="81"/>
      <c r="E81" s="81"/>
    </row>
    <row r="82">
      <c r="A82" s="81"/>
      <c r="B82" s="81"/>
      <c r="D82" s="81"/>
      <c r="E82" s="81"/>
    </row>
    <row r="83">
      <c r="A83" s="81"/>
      <c r="B83" s="81"/>
      <c r="D83" s="81"/>
      <c r="E83" s="81"/>
    </row>
    <row r="84">
      <c r="A84" s="81"/>
      <c r="B84" s="81"/>
      <c r="D84" s="81"/>
      <c r="E84" s="81"/>
    </row>
    <row r="85">
      <c r="A85" s="81"/>
      <c r="B85" s="81"/>
      <c r="D85" s="81"/>
      <c r="E85" s="81"/>
    </row>
    <row r="86">
      <c r="A86" s="81"/>
      <c r="B86" s="81"/>
      <c r="D86" s="81"/>
      <c r="E86" s="81"/>
    </row>
    <row r="87">
      <c r="A87" s="81"/>
      <c r="B87" s="81"/>
      <c r="D87" s="81"/>
      <c r="E87" s="81"/>
    </row>
    <row r="88">
      <c r="A88" s="81"/>
      <c r="B88" s="81"/>
      <c r="D88" s="81"/>
      <c r="E88" s="81"/>
    </row>
    <row r="89">
      <c r="A89" s="81"/>
      <c r="B89" s="81"/>
      <c r="D89" s="81"/>
      <c r="E89" s="81"/>
    </row>
    <row r="90">
      <c r="A90" s="81"/>
      <c r="B90" s="81"/>
      <c r="D90" s="81"/>
      <c r="E90" s="81"/>
    </row>
    <row r="91">
      <c r="A91" s="81"/>
      <c r="B91" s="81"/>
      <c r="D91" s="81"/>
      <c r="E91" s="81"/>
    </row>
    <row r="92">
      <c r="A92" s="81"/>
      <c r="B92" s="81"/>
      <c r="D92" s="81"/>
      <c r="E92" s="81"/>
    </row>
    <row r="93">
      <c r="A93" s="81"/>
      <c r="B93" s="81"/>
      <c r="D93" s="81"/>
      <c r="E93" s="81"/>
    </row>
    <row r="94">
      <c r="A94" s="81"/>
      <c r="B94" s="81"/>
      <c r="D94" s="81"/>
      <c r="E94" s="81"/>
    </row>
    <row r="95">
      <c r="A95" s="81"/>
      <c r="B95" s="81"/>
      <c r="D95" s="81"/>
      <c r="E95" s="81"/>
    </row>
    <row r="96">
      <c r="A96" s="81"/>
      <c r="B96" s="81"/>
      <c r="D96" s="81"/>
      <c r="E96" s="81"/>
    </row>
    <row r="97">
      <c r="A97" s="81"/>
      <c r="B97" s="81"/>
      <c r="D97" s="81"/>
      <c r="E97" s="81"/>
    </row>
    <row r="98">
      <c r="A98" s="81"/>
      <c r="B98" s="81"/>
      <c r="D98" s="81"/>
      <c r="E98" s="81"/>
    </row>
    <row r="99">
      <c r="A99" s="81"/>
      <c r="B99" s="81"/>
      <c r="D99" s="81"/>
      <c r="E99" s="81"/>
    </row>
    <row r="100">
      <c r="A100" s="81"/>
      <c r="B100" s="81"/>
      <c r="D100" s="81"/>
      <c r="E100" s="81"/>
    </row>
    <row r="101">
      <c r="A101" s="81"/>
      <c r="B101" s="81"/>
      <c r="D101" s="81"/>
      <c r="E101" s="81"/>
    </row>
    <row r="102">
      <c r="A102" s="81"/>
      <c r="B102" s="81"/>
      <c r="D102" s="81"/>
      <c r="E102" s="81"/>
    </row>
    <row r="103">
      <c r="A103" s="81"/>
      <c r="B103" s="81"/>
      <c r="D103" s="81"/>
      <c r="E103" s="81"/>
    </row>
    <row r="104">
      <c r="A104" s="81"/>
      <c r="B104" s="81"/>
      <c r="D104" s="81"/>
      <c r="E104" s="81"/>
    </row>
    <row r="105">
      <c r="A105" s="81"/>
      <c r="B105" s="81"/>
      <c r="D105" s="81"/>
      <c r="E105" s="81"/>
    </row>
    <row r="106">
      <c r="A106" s="81"/>
      <c r="B106" s="81"/>
      <c r="D106" s="81"/>
      <c r="E106" s="81"/>
    </row>
    <row r="107">
      <c r="A107" s="81"/>
      <c r="B107" s="81"/>
      <c r="D107" s="81"/>
      <c r="E107" s="81"/>
    </row>
    <row r="108">
      <c r="A108" s="81"/>
      <c r="B108" s="81"/>
      <c r="D108" s="81"/>
      <c r="E108" s="81"/>
    </row>
    <row r="109">
      <c r="A109" s="81"/>
      <c r="B109" s="81"/>
      <c r="D109" s="81"/>
      <c r="E109" s="81"/>
    </row>
    <row r="110">
      <c r="A110" s="81"/>
      <c r="B110" s="81"/>
      <c r="D110" s="81"/>
      <c r="E110" s="81"/>
    </row>
    <row r="111">
      <c r="A111" s="81"/>
      <c r="B111" s="81"/>
      <c r="D111" s="81"/>
      <c r="E111" s="81"/>
    </row>
    <row r="112">
      <c r="A112" s="81"/>
      <c r="B112" s="81"/>
      <c r="D112" s="81"/>
      <c r="E112" s="81"/>
    </row>
    <row r="113">
      <c r="A113" s="81"/>
      <c r="B113" s="81"/>
      <c r="D113" s="81"/>
      <c r="E113" s="81"/>
    </row>
    <row r="114">
      <c r="A114" s="81"/>
      <c r="B114" s="81"/>
      <c r="D114" s="81"/>
      <c r="E114" s="81"/>
    </row>
    <row r="115">
      <c r="A115" s="81"/>
      <c r="B115" s="81"/>
      <c r="D115" s="81"/>
      <c r="E115" s="81"/>
    </row>
    <row r="116">
      <c r="A116" s="81"/>
      <c r="B116" s="81"/>
      <c r="D116" s="81"/>
      <c r="E116" s="81"/>
    </row>
    <row r="117">
      <c r="A117" s="81"/>
      <c r="B117" s="81"/>
      <c r="D117" s="81"/>
      <c r="E117" s="81"/>
    </row>
    <row r="118">
      <c r="A118" s="81"/>
      <c r="B118" s="81"/>
      <c r="D118" s="81"/>
      <c r="E118" s="81"/>
    </row>
    <row r="119">
      <c r="A119" s="81"/>
      <c r="B119" s="81"/>
      <c r="D119" s="81"/>
      <c r="E119" s="81"/>
    </row>
    <row r="120">
      <c r="A120" s="81"/>
      <c r="B120" s="81"/>
      <c r="D120" s="81"/>
      <c r="E120" s="81"/>
    </row>
    <row r="121">
      <c r="A121" s="81"/>
      <c r="B121" s="81"/>
      <c r="D121" s="81"/>
      <c r="E121" s="81"/>
    </row>
    <row r="122">
      <c r="A122" s="81"/>
      <c r="B122" s="81"/>
      <c r="D122" s="81"/>
      <c r="E122" s="81"/>
    </row>
    <row r="123">
      <c r="A123" s="81"/>
      <c r="B123" s="81"/>
      <c r="D123" s="81"/>
      <c r="E123" s="81"/>
    </row>
    <row r="124">
      <c r="A124" s="81"/>
      <c r="B124" s="81"/>
      <c r="D124" s="81"/>
      <c r="E124" s="81"/>
    </row>
    <row r="125">
      <c r="A125" s="81"/>
      <c r="B125" s="81"/>
      <c r="D125" s="81"/>
      <c r="E125" s="81"/>
    </row>
    <row r="126">
      <c r="A126" s="81"/>
      <c r="B126" s="81"/>
      <c r="D126" s="81"/>
      <c r="E126" s="81"/>
    </row>
    <row r="127">
      <c r="A127" s="81"/>
      <c r="B127" s="81"/>
      <c r="D127" s="81"/>
      <c r="E127" s="81"/>
    </row>
    <row r="128">
      <c r="A128" s="81"/>
      <c r="B128" s="81"/>
      <c r="D128" s="81"/>
      <c r="E128" s="81"/>
    </row>
    <row r="129">
      <c r="A129" s="81"/>
      <c r="B129" s="81"/>
      <c r="D129" s="81"/>
      <c r="E129" s="81"/>
    </row>
    <row r="130">
      <c r="A130" s="81"/>
      <c r="B130" s="81"/>
      <c r="D130" s="81"/>
      <c r="E130" s="81"/>
    </row>
    <row r="131">
      <c r="A131" s="81"/>
      <c r="B131" s="81"/>
      <c r="D131" s="81"/>
      <c r="E131" s="81"/>
    </row>
    <row r="132">
      <c r="A132" s="81"/>
      <c r="B132" s="81"/>
      <c r="D132" s="81"/>
      <c r="E132" s="81"/>
    </row>
    <row r="133">
      <c r="A133" s="81"/>
      <c r="B133" s="81"/>
      <c r="D133" s="81"/>
      <c r="E133" s="81"/>
    </row>
    <row r="134">
      <c r="A134" s="81"/>
      <c r="B134" s="81"/>
      <c r="D134" s="81"/>
      <c r="E134" s="81"/>
    </row>
    <row r="135">
      <c r="A135" s="81"/>
      <c r="B135" s="81"/>
      <c r="D135" s="81"/>
      <c r="E135" s="81"/>
    </row>
    <row r="136">
      <c r="A136" s="81"/>
      <c r="B136" s="81"/>
      <c r="D136" s="81"/>
      <c r="E136" s="81"/>
    </row>
    <row r="137">
      <c r="A137" s="81"/>
      <c r="B137" s="81"/>
      <c r="D137" s="81"/>
      <c r="E137" s="81"/>
    </row>
    <row r="138">
      <c r="A138" s="81"/>
      <c r="B138" s="81"/>
      <c r="D138" s="81"/>
      <c r="E138" s="81"/>
    </row>
    <row r="139">
      <c r="A139" s="81"/>
      <c r="B139" s="81"/>
      <c r="D139" s="81"/>
      <c r="E139" s="81"/>
    </row>
    <row r="140">
      <c r="A140" s="81"/>
      <c r="B140" s="81"/>
      <c r="D140" s="81"/>
      <c r="E140" s="81"/>
    </row>
    <row r="141">
      <c r="A141" s="81"/>
      <c r="B141" s="81"/>
      <c r="D141" s="81"/>
      <c r="E141" s="81"/>
    </row>
    <row r="142">
      <c r="A142" s="81"/>
      <c r="B142" s="81"/>
      <c r="D142" s="81"/>
      <c r="E142" s="81"/>
    </row>
    <row r="143">
      <c r="A143" s="81"/>
      <c r="B143" s="81"/>
      <c r="D143" s="81"/>
      <c r="E143" s="81"/>
    </row>
    <row r="144">
      <c r="A144" s="81"/>
      <c r="B144" s="81"/>
      <c r="D144" s="81"/>
      <c r="E144" s="81"/>
    </row>
    <row r="145">
      <c r="A145" s="81"/>
      <c r="B145" s="81"/>
      <c r="D145" s="81"/>
      <c r="E145" s="81"/>
    </row>
    <row r="146">
      <c r="A146" s="81"/>
      <c r="B146" s="81"/>
      <c r="D146" s="81"/>
      <c r="E146" s="81"/>
    </row>
    <row r="147">
      <c r="A147" s="81"/>
      <c r="B147" s="81"/>
      <c r="D147" s="81"/>
      <c r="E147" s="81"/>
    </row>
    <row r="148">
      <c r="A148" s="81"/>
      <c r="B148" s="81"/>
      <c r="D148" s="81"/>
      <c r="E148" s="81"/>
    </row>
    <row r="149">
      <c r="A149" s="81"/>
      <c r="B149" s="81"/>
      <c r="D149" s="81"/>
      <c r="E149" s="81"/>
    </row>
    <row r="150">
      <c r="A150" s="81"/>
      <c r="B150" s="81"/>
      <c r="D150" s="81"/>
      <c r="E150" s="81"/>
    </row>
    <row r="151">
      <c r="A151" s="81"/>
      <c r="B151" s="81"/>
      <c r="D151" s="81"/>
      <c r="E151" s="81"/>
    </row>
    <row r="152">
      <c r="A152" s="81"/>
      <c r="B152" s="81"/>
      <c r="D152" s="81"/>
      <c r="E152" s="81"/>
    </row>
    <row r="153">
      <c r="A153" s="81"/>
      <c r="B153" s="81"/>
      <c r="D153" s="81"/>
      <c r="E153" s="81"/>
    </row>
    <row r="154">
      <c r="A154" s="81"/>
      <c r="B154" s="81"/>
      <c r="D154" s="81"/>
      <c r="E154" s="81"/>
    </row>
    <row r="155">
      <c r="A155" s="81"/>
      <c r="B155" s="81"/>
      <c r="D155" s="81"/>
      <c r="E155" s="81"/>
    </row>
    <row r="156">
      <c r="A156" s="81"/>
      <c r="B156" s="81"/>
      <c r="D156" s="81"/>
      <c r="E156" s="81"/>
    </row>
    <row r="157">
      <c r="A157" s="81"/>
      <c r="B157" s="81"/>
      <c r="D157" s="81"/>
      <c r="E157" s="81"/>
    </row>
    <row r="158">
      <c r="A158" s="81"/>
      <c r="B158" s="81"/>
      <c r="D158" s="81"/>
      <c r="E158" s="81"/>
    </row>
    <row r="159">
      <c r="A159" s="81"/>
      <c r="B159" s="81"/>
      <c r="D159" s="81"/>
      <c r="E159" s="81"/>
    </row>
    <row r="160">
      <c r="A160" s="81"/>
      <c r="B160" s="81"/>
      <c r="D160" s="81"/>
      <c r="E160" s="81"/>
    </row>
    <row r="161">
      <c r="A161" s="81"/>
      <c r="B161" s="81"/>
      <c r="D161" s="81"/>
      <c r="E161" s="81"/>
    </row>
    <row r="162">
      <c r="A162" s="81"/>
      <c r="B162" s="81"/>
      <c r="D162" s="81"/>
      <c r="E162" s="81"/>
    </row>
    <row r="163">
      <c r="A163" s="81"/>
      <c r="B163" s="81"/>
      <c r="D163" s="81"/>
      <c r="E163" s="81"/>
    </row>
    <row r="164">
      <c r="A164" s="81"/>
      <c r="B164" s="81"/>
      <c r="D164" s="81"/>
      <c r="E164" s="81"/>
    </row>
    <row r="165">
      <c r="A165" s="81"/>
      <c r="B165" s="81"/>
      <c r="D165" s="81"/>
      <c r="E165" s="81"/>
    </row>
    <row r="166">
      <c r="A166" s="81"/>
      <c r="B166" s="81"/>
      <c r="D166" s="81"/>
      <c r="E166" s="81"/>
    </row>
    <row r="167">
      <c r="A167" s="81"/>
      <c r="B167" s="81"/>
      <c r="D167" s="81"/>
      <c r="E167" s="81"/>
    </row>
    <row r="168">
      <c r="A168" s="81"/>
      <c r="B168" s="81"/>
      <c r="D168" s="81"/>
      <c r="E168" s="81"/>
    </row>
    <row r="169">
      <c r="A169" s="81"/>
      <c r="B169" s="81"/>
      <c r="D169" s="81"/>
      <c r="E169" s="81"/>
    </row>
    <row r="170">
      <c r="A170" s="81"/>
      <c r="B170" s="81"/>
      <c r="D170" s="81"/>
      <c r="E170" s="81"/>
    </row>
    <row r="171">
      <c r="A171" s="81"/>
      <c r="B171" s="81"/>
      <c r="D171" s="81"/>
      <c r="E171" s="81"/>
    </row>
    <row r="172">
      <c r="A172" s="81"/>
      <c r="B172" s="81"/>
      <c r="D172" s="81"/>
      <c r="E172" s="81"/>
    </row>
    <row r="173">
      <c r="A173" s="81"/>
      <c r="B173" s="81"/>
      <c r="D173" s="81"/>
      <c r="E173" s="81"/>
    </row>
    <row r="174">
      <c r="A174" s="81"/>
      <c r="B174" s="81"/>
      <c r="D174" s="81"/>
      <c r="E174" s="81"/>
    </row>
    <row r="175">
      <c r="A175" s="81"/>
      <c r="B175" s="81"/>
      <c r="D175" s="81"/>
      <c r="E175" s="81"/>
    </row>
    <row r="176">
      <c r="A176" s="81"/>
      <c r="B176" s="81"/>
      <c r="D176" s="81"/>
      <c r="E176" s="81"/>
    </row>
    <row r="177">
      <c r="A177" s="81"/>
      <c r="B177" s="81"/>
      <c r="D177" s="81"/>
      <c r="E177" s="81"/>
    </row>
    <row r="178">
      <c r="A178" s="81"/>
      <c r="B178" s="81"/>
      <c r="D178" s="81"/>
      <c r="E178" s="81"/>
    </row>
    <row r="179">
      <c r="A179" s="81"/>
      <c r="B179" s="81"/>
      <c r="D179" s="81"/>
      <c r="E179" s="81"/>
    </row>
    <row r="180">
      <c r="A180" s="81"/>
      <c r="B180" s="81"/>
      <c r="D180" s="81"/>
      <c r="E180" s="81"/>
    </row>
    <row r="181">
      <c r="A181" s="81"/>
      <c r="B181" s="81"/>
      <c r="D181" s="81"/>
      <c r="E181" s="81"/>
    </row>
    <row r="182">
      <c r="A182" s="81"/>
      <c r="B182" s="81"/>
      <c r="D182" s="81"/>
      <c r="E182" s="81"/>
    </row>
    <row r="183">
      <c r="A183" s="81"/>
      <c r="B183" s="81"/>
      <c r="D183" s="81"/>
      <c r="E183" s="81"/>
    </row>
    <row r="184">
      <c r="A184" s="81"/>
      <c r="B184" s="81"/>
      <c r="D184" s="81"/>
      <c r="E184" s="81"/>
    </row>
    <row r="185">
      <c r="A185" s="81"/>
      <c r="B185" s="81"/>
      <c r="D185" s="81"/>
      <c r="E185" s="81"/>
    </row>
    <row r="186">
      <c r="A186" s="81"/>
      <c r="B186" s="81"/>
      <c r="D186" s="81"/>
      <c r="E186" s="81"/>
    </row>
    <row r="187">
      <c r="A187" s="81"/>
      <c r="B187" s="81"/>
      <c r="D187" s="81"/>
      <c r="E187" s="81"/>
    </row>
    <row r="188">
      <c r="A188" s="81"/>
      <c r="B188" s="81"/>
      <c r="D188" s="81"/>
      <c r="E188" s="81"/>
    </row>
    <row r="189">
      <c r="A189" s="81"/>
      <c r="B189" s="81"/>
      <c r="D189" s="81"/>
      <c r="E189" s="81"/>
    </row>
    <row r="190">
      <c r="A190" s="81"/>
      <c r="B190" s="81"/>
      <c r="D190" s="81"/>
      <c r="E190" s="81"/>
    </row>
    <row r="191">
      <c r="A191" s="81"/>
      <c r="B191" s="81"/>
      <c r="D191" s="81"/>
      <c r="E191" s="81"/>
    </row>
    <row r="192">
      <c r="A192" s="81"/>
      <c r="B192" s="81"/>
      <c r="D192" s="81"/>
      <c r="E192" s="81"/>
    </row>
    <row r="193">
      <c r="A193" s="81"/>
      <c r="B193" s="81"/>
      <c r="D193" s="81"/>
      <c r="E193" s="81"/>
    </row>
    <row r="194">
      <c r="A194" s="81"/>
      <c r="B194" s="81"/>
      <c r="D194" s="81"/>
      <c r="E194" s="81"/>
    </row>
    <row r="195">
      <c r="A195" s="81"/>
      <c r="B195" s="81"/>
      <c r="D195" s="81"/>
      <c r="E195" s="81"/>
    </row>
    <row r="196">
      <c r="A196" s="81"/>
      <c r="B196" s="81"/>
      <c r="D196" s="81"/>
      <c r="E196" s="81"/>
    </row>
    <row r="197">
      <c r="A197" s="81"/>
      <c r="B197" s="81"/>
      <c r="D197" s="81"/>
      <c r="E197" s="81"/>
    </row>
    <row r="198">
      <c r="A198" s="81"/>
      <c r="B198" s="81"/>
      <c r="D198" s="81"/>
      <c r="E198" s="81"/>
    </row>
    <row r="199">
      <c r="A199" s="81"/>
      <c r="B199" s="81"/>
      <c r="D199" s="81"/>
      <c r="E199" s="81"/>
    </row>
    <row r="200">
      <c r="A200" s="81"/>
      <c r="B200" s="81"/>
      <c r="D200" s="81"/>
      <c r="E200" s="81"/>
    </row>
    <row r="201">
      <c r="A201" s="81"/>
      <c r="B201" s="81"/>
      <c r="D201" s="81"/>
      <c r="E201" s="81"/>
    </row>
    <row r="202">
      <c r="A202" s="81"/>
      <c r="B202" s="81"/>
      <c r="D202" s="81"/>
      <c r="E202" s="81"/>
    </row>
    <row r="203">
      <c r="A203" s="81"/>
      <c r="B203" s="81"/>
      <c r="D203" s="81"/>
      <c r="E203" s="81"/>
    </row>
    <row r="204">
      <c r="A204" s="81"/>
      <c r="B204" s="81"/>
      <c r="D204" s="81"/>
      <c r="E204" s="81"/>
    </row>
    <row r="205">
      <c r="A205" s="81"/>
      <c r="B205" s="81"/>
      <c r="D205" s="81"/>
      <c r="E205" s="81"/>
    </row>
    <row r="206">
      <c r="A206" s="81"/>
      <c r="B206" s="81"/>
      <c r="D206" s="81"/>
      <c r="E206" s="81"/>
    </row>
    <row r="207">
      <c r="A207" s="81"/>
      <c r="B207" s="81"/>
      <c r="D207" s="81"/>
      <c r="E207" s="81"/>
    </row>
    <row r="208">
      <c r="A208" s="81"/>
      <c r="B208" s="81"/>
      <c r="D208" s="81"/>
      <c r="E208" s="81"/>
    </row>
    <row r="209">
      <c r="A209" s="81"/>
      <c r="B209" s="81"/>
      <c r="D209" s="81"/>
      <c r="E209" s="81"/>
    </row>
    <row r="210">
      <c r="A210" s="81"/>
      <c r="B210" s="81"/>
      <c r="D210" s="81"/>
      <c r="E210" s="81"/>
    </row>
    <row r="211">
      <c r="A211" s="81"/>
      <c r="B211" s="81"/>
      <c r="D211" s="81"/>
      <c r="E211" s="81"/>
    </row>
    <row r="212">
      <c r="A212" s="81"/>
      <c r="B212" s="81"/>
      <c r="D212" s="81"/>
      <c r="E212" s="81"/>
    </row>
    <row r="213">
      <c r="A213" s="81"/>
      <c r="B213" s="81"/>
      <c r="D213" s="81"/>
      <c r="E213" s="81"/>
    </row>
    <row r="214">
      <c r="A214" s="81"/>
      <c r="B214" s="81"/>
      <c r="D214" s="81"/>
      <c r="E214" s="81"/>
    </row>
    <row r="215">
      <c r="A215" s="81"/>
      <c r="B215" s="81"/>
      <c r="D215" s="81"/>
      <c r="E215" s="81"/>
    </row>
    <row r="216">
      <c r="A216" s="81"/>
      <c r="B216" s="81"/>
      <c r="D216" s="81"/>
      <c r="E216" s="81"/>
    </row>
    <row r="217">
      <c r="A217" s="81"/>
      <c r="B217" s="81"/>
      <c r="D217" s="81"/>
      <c r="E217" s="81"/>
    </row>
    <row r="218">
      <c r="A218" s="81"/>
      <c r="B218" s="81"/>
      <c r="D218" s="81"/>
      <c r="E218" s="81"/>
    </row>
    <row r="219">
      <c r="A219" s="81"/>
      <c r="B219" s="81"/>
      <c r="D219" s="81"/>
      <c r="E219" s="81"/>
    </row>
    <row r="220">
      <c r="A220" s="81"/>
      <c r="B220" s="81"/>
      <c r="D220" s="81"/>
      <c r="E220" s="81"/>
    </row>
    <row r="221">
      <c r="A221" s="81"/>
      <c r="B221" s="81"/>
      <c r="D221" s="81"/>
      <c r="E221" s="81"/>
    </row>
    <row r="222">
      <c r="A222" s="81"/>
      <c r="B222" s="81"/>
      <c r="D222" s="81"/>
      <c r="E222" s="81"/>
    </row>
    <row r="223">
      <c r="A223" s="81"/>
      <c r="B223" s="81"/>
      <c r="D223" s="81"/>
      <c r="E223" s="81"/>
    </row>
    <row r="224">
      <c r="A224" s="81"/>
      <c r="B224" s="81"/>
      <c r="D224" s="81"/>
      <c r="E224" s="81"/>
    </row>
    <row r="225">
      <c r="A225" s="81"/>
      <c r="B225" s="81"/>
      <c r="D225" s="81"/>
      <c r="E225" s="81"/>
    </row>
    <row r="226">
      <c r="A226" s="81"/>
      <c r="B226" s="81"/>
      <c r="D226" s="81"/>
      <c r="E226" s="81"/>
    </row>
    <row r="227">
      <c r="A227" s="81"/>
      <c r="B227" s="81"/>
      <c r="D227" s="81"/>
      <c r="E227" s="81"/>
    </row>
    <row r="228">
      <c r="A228" s="81"/>
      <c r="B228" s="81"/>
      <c r="D228" s="81"/>
      <c r="E228" s="81"/>
    </row>
    <row r="229">
      <c r="A229" s="81"/>
      <c r="B229" s="81"/>
      <c r="D229" s="81"/>
      <c r="E229" s="81"/>
    </row>
    <row r="230">
      <c r="A230" s="81"/>
      <c r="B230" s="81"/>
      <c r="D230" s="81"/>
      <c r="E230" s="81"/>
    </row>
    <row r="231">
      <c r="A231" s="81"/>
      <c r="B231" s="81"/>
      <c r="D231" s="81"/>
      <c r="E231" s="81"/>
    </row>
    <row r="232">
      <c r="A232" s="81"/>
      <c r="B232" s="81"/>
      <c r="D232" s="81"/>
      <c r="E232" s="81"/>
    </row>
    <row r="233">
      <c r="A233" s="81"/>
      <c r="B233" s="81"/>
      <c r="D233" s="81"/>
      <c r="E233" s="81"/>
    </row>
    <row r="234">
      <c r="A234" s="81"/>
      <c r="B234" s="81"/>
      <c r="D234" s="81"/>
      <c r="E234" s="81"/>
    </row>
    <row r="235">
      <c r="A235" s="81"/>
      <c r="B235" s="81"/>
      <c r="D235" s="81"/>
      <c r="E235" s="81"/>
    </row>
    <row r="236">
      <c r="A236" s="81"/>
      <c r="B236" s="81"/>
      <c r="D236" s="81"/>
      <c r="E236" s="81"/>
    </row>
    <row r="237">
      <c r="A237" s="81"/>
      <c r="B237" s="81"/>
      <c r="D237" s="81"/>
      <c r="E237" s="81"/>
    </row>
    <row r="238">
      <c r="A238" s="81"/>
      <c r="B238" s="81"/>
      <c r="D238" s="81"/>
      <c r="E238" s="81"/>
    </row>
    <row r="239">
      <c r="A239" s="81"/>
      <c r="B239" s="81"/>
      <c r="D239" s="81"/>
      <c r="E239" s="81"/>
    </row>
    <row r="240">
      <c r="A240" s="81"/>
      <c r="B240" s="81"/>
      <c r="D240" s="81"/>
      <c r="E240" s="81"/>
    </row>
    <row r="241">
      <c r="A241" s="81"/>
      <c r="B241" s="81"/>
      <c r="D241" s="81"/>
      <c r="E241" s="81"/>
    </row>
    <row r="242">
      <c r="A242" s="81"/>
      <c r="B242" s="81"/>
      <c r="D242" s="81"/>
      <c r="E242" s="81"/>
    </row>
    <row r="243">
      <c r="A243" s="81"/>
      <c r="B243" s="81"/>
      <c r="D243" s="81"/>
      <c r="E243" s="81"/>
    </row>
    <row r="244">
      <c r="A244" s="81"/>
      <c r="B244" s="81"/>
      <c r="D244" s="81"/>
      <c r="E244" s="81"/>
    </row>
    <row r="245">
      <c r="A245" s="81"/>
      <c r="B245" s="81"/>
      <c r="D245" s="81"/>
      <c r="E245" s="81"/>
    </row>
    <row r="246">
      <c r="A246" s="81"/>
      <c r="B246" s="81"/>
      <c r="D246" s="81"/>
      <c r="E246" s="81"/>
    </row>
    <row r="247">
      <c r="A247" s="81"/>
      <c r="B247" s="81"/>
      <c r="D247" s="81"/>
      <c r="E247" s="81"/>
    </row>
    <row r="248">
      <c r="A248" s="81"/>
      <c r="B248" s="81"/>
      <c r="D248" s="81"/>
      <c r="E248" s="81"/>
    </row>
    <row r="249">
      <c r="A249" s="81"/>
      <c r="B249" s="81"/>
      <c r="D249" s="81"/>
      <c r="E249" s="81"/>
    </row>
    <row r="250">
      <c r="A250" s="81"/>
      <c r="B250" s="81"/>
      <c r="D250" s="81"/>
      <c r="E250" s="81"/>
    </row>
    <row r="251">
      <c r="A251" s="81"/>
      <c r="B251" s="81"/>
      <c r="D251" s="81"/>
      <c r="E251" s="81"/>
    </row>
    <row r="252">
      <c r="A252" s="81"/>
      <c r="B252" s="81"/>
      <c r="D252" s="81"/>
      <c r="E252" s="81"/>
    </row>
    <row r="253">
      <c r="A253" s="81"/>
      <c r="B253" s="81"/>
      <c r="D253" s="81"/>
      <c r="E253" s="81"/>
    </row>
    <row r="254">
      <c r="A254" s="81"/>
      <c r="B254" s="81"/>
      <c r="D254" s="81"/>
      <c r="E254" s="81"/>
    </row>
    <row r="255">
      <c r="A255" s="81"/>
      <c r="B255" s="81"/>
      <c r="D255" s="81"/>
      <c r="E255" s="81"/>
    </row>
    <row r="256">
      <c r="A256" s="81"/>
      <c r="B256" s="81"/>
      <c r="D256" s="81"/>
      <c r="E256" s="81"/>
    </row>
    <row r="257">
      <c r="A257" s="81"/>
      <c r="B257" s="81"/>
      <c r="D257" s="81"/>
      <c r="E257" s="81"/>
    </row>
    <row r="258">
      <c r="A258" s="81"/>
      <c r="B258" s="81"/>
      <c r="D258" s="81"/>
      <c r="E258" s="81"/>
    </row>
    <row r="259">
      <c r="A259" s="81"/>
      <c r="B259" s="81"/>
      <c r="D259" s="81"/>
      <c r="E259" s="81"/>
    </row>
    <row r="260">
      <c r="A260" s="81"/>
      <c r="B260" s="81"/>
      <c r="D260" s="81"/>
      <c r="E260" s="81"/>
    </row>
    <row r="261">
      <c r="A261" s="81"/>
      <c r="B261" s="81"/>
      <c r="D261" s="81"/>
      <c r="E261" s="81"/>
    </row>
    <row r="262">
      <c r="A262" s="81"/>
      <c r="B262" s="81"/>
      <c r="D262" s="81"/>
      <c r="E262" s="81"/>
    </row>
    <row r="263">
      <c r="A263" s="81"/>
      <c r="B263" s="81"/>
      <c r="D263" s="81"/>
      <c r="E263" s="81"/>
    </row>
    <row r="264">
      <c r="A264" s="81"/>
      <c r="B264" s="81"/>
      <c r="D264" s="81"/>
      <c r="E264" s="81"/>
    </row>
    <row r="265">
      <c r="A265" s="81"/>
      <c r="B265" s="81"/>
      <c r="D265" s="81"/>
      <c r="E265" s="81"/>
    </row>
    <row r="266">
      <c r="A266" s="81"/>
      <c r="B266" s="81"/>
      <c r="D266" s="81"/>
      <c r="E266" s="81"/>
    </row>
    <row r="267">
      <c r="A267" s="81"/>
      <c r="B267" s="81"/>
      <c r="D267" s="81"/>
      <c r="E267" s="81"/>
    </row>
    <row r="268">
      <c r="A268" s="81"/>
      <c r="B268" s="81"/>
      <c r="D268" s="81"/>
      <c r="E268" s="81"/>
    </row>
    <row r="269">
      <c r="A269" s="81"/>
      <c r="B269" s="81"/>
      <c r="D269" s="81"/>
      <c r="E269" s="81"/>
    </row>
    <row r="270">
      <c r="A270" s="81"/>
      <c r="B270" s="81"/>
      <c r="D270" s="81"/>
      <c r="E270" s="81"/>
    </row>
    <row r="271">
      <c r="A271" s="81"/>
      <c r="B271" s="81"/>
      <c r="D271" s="81"/>
      <c r="E271" s="81"/>
    </row>
    <row r="272">
      <c r="A272" s="81"/>
      <c r="B272" s="81"/>
      <c r="D272" s="81"/>
      <c r="E272" s="81"/>
    </row>
    <row r="273">
      <c r="A273" s="81"/>
      <c r="B273" s="81"/>
      <c r="D273" s="81"/>
      <c r="E273" s="81"/>
    </row>
    <row r="274">
      <c r="A274" s="81"/>
      <c r="B274" s="81"/>
      <c r="D274" s="81"/>
      <c r="E274" s="81"/>
    </row>
    <row r="275">
      <c r="A275" s="81"/>
      <c r="B275" s="81"/>
      <c r="D275" s="81"/>
      <c r="E275" s="81"/>
    </row>
    <row r="276">
      <c r="A276" s="81"/>
      <c r="B276" s="81"/>
      <c r="D276" s="81"/>
      <c r="E276" s="81"/>
    </row>
    <row r="277">
      <c r="A277" s="81"/>
      <c r="B277" s="81"/>
      <c r="D277" s="81"/>
      <c r="E277" s="81"/>
    </row>
    <row r="278">
      <c r="A278" s="81"/>
      <c r="B278" s="81"/>
      <c r="D278" s="81"/>
      <c r="E278" s="81"/>
    </row>
    <row r="279">
      <c r="A279" s="81"/>
      <c r="B279" s="81"/>
      <c r="D279" s="81"/>
      <c r="E279" s="81"/>
    </row>
    <row r="280">
      <c r="A280" s="81"/>
      <c r="B280" s="81"/>
      <c r="D280" s="81"/>
      <c r="E280" s="81"/>
    </row>
    <row r="281">
      <c r="A281" s="81"/>
      <c r="B281" s="81"/>
      <c r="D281" s="81"/>
      <c r="E281" s="81"/>
    </row>
    <row r="282">
      <c r="A282" s="81"/>
      <c r="B282" s="81"/>
      <c r="D282" s="81"/>
      <c r="E282" s="81"/>
    </row>
    <row r="283">
      <c r="A283" s="81"/>
      <c r="B283" s="81"/>
      <c r="D283" s="81"/>
      <c r="E283" s="81"/>
    </row>
    <row r="284">
      <c r="A284" s="81"/>
      <c r="B284" s="81"/>
      <c r="D284" s="81"/>
      <c r="E284" s="81"/>
    </row>
    <row r="285">
      <c r="A285" s="81"/>
      <c r="B285" s="81"/>
      <c r="D285" s="81"/>
      <c r="E285" s="81"/>
    </row>
    <row r="286">
      <c r="A286" s="81"/>
      <c r="B286" s="81"/>
      <c r="D286" s="81"/>
      <c r="E286" s="81"/>
    </row>
    <row r="287">
      <c r="A287" s="81"/>
      <c r="B287" s="81"/>
      <c r="D287" s="81"/>
      <c r="E287" s="81"/>
    </row>
    <row r="288">
      <c r="A288" s="81"/>
      <c r="B288" s="81"/>
      <c r="D288" s="81"/>
      <c r="E288" s="81"/>
    </row>
    <row r="289">
      <c r="A289" s="81"/>
      <c r="B289" s="81"/>
      <c r="D289" s="81"/>
      <c r="E289" s="81"/>
    </row>
    <row r="290">
      <c r="A290" s="81"/>
      <c r="B290" s="81"/>
      <c r="D290" s="81"/>
      <c r="E290" s="81"/>
    </row>
    <row r="291">
      <c r="A291" s="81"/>
      <c r="B291" s="81"/>
      <c r="D291" s="81"/>
      <c r="E291" s="81"/>
    </row>
    <row r="292">
      <c r="A292" s="81"/>
      <c r="B292" s="81"/>
      <c r="D292" s="81"/>
      <c r="E292" s="81"/>
    </row>
    <row r="293">
      <c r="A293" s="81"/>
      <c r="B293" s="81"/>
      <c r="D293" s="81"/>
      <c r="E293" s="81"/>
    </row>
    <row r="294">
      <c r="A294" s="81"/>
      <c r="B294" s="81"/>
      <c r="D294" s="81"/>
      <c r="E294" s="81"/>
    </row>
    <row r="295">
      <c r="A295" s="81"/>
      <c r="B295" s="81"/>
      <c r="D295" s="81"/>
      <c r="E295" s="81"/>
    </row>
    <row r="296">
      <c r="A296" s="81"/>
      <c r="B296" s="81"/>
      <c r="D296" s="81"/>
      <c r="E296" s="81"/>
    </row>
    <row r="297">
      <c r="A297" s="81"/>
      <c r="B297" s="81"/>
      <c r="D297" s="81"/>
      <c r="E297" s="81"/>
    </row>
    <row r="298">
      <c r="A298" s="81"/>
      <c r="B298" s="81"/>
      <c r="D298" s="81"/>
      <c r="E298" s="81"/>
    </row>
    <row r="299">
      <c r="A299" s="81"/>
      <c r="B299" s="81"/>
      <c r="D299" s="81"/>
      <c r="E299" s="81"/>
    </row>
    <row r="300">
      <c r="A300" s="81"/>
      <c r="B300" s="81"/>
      <c r="D300" s="81"/>
      <c r="E300" s="81"/>
    </row>
    <row r="301">
      <c r="A301" s="81"/>
      <c r="B301" s="81"/>
      <c r="D301" s="81"/>
      <c r="E301" s="81"/>
    </row>
    <row r="302">
      <c r="A302" s="81"/>
      <c r="B302" s="81"/>
      <c r="D302" s="81"/>
      <c r="E302" s="81"/>
    </row>
    <row r="303">
      <c r="A303" s="81"/>
      <c r="B303" s="81"/>
      <c r="D303" s="81"/>
      <c r="E303" s="81"/>
    </row>
    <row r="304">
      <c r="A304" s="81"/>
      <c r="B304" s="81"/>
      <c r="D304" s="81"/>
      <c r="E304" s="81"/>
    </row>
    <row r="305">
      <c r="A305" s="81"/>
      <c r="B305" s="81"/>
      <c r="D305" s="81"/>
      <c r="E305" s="81"/>
    </row>
    <row r="306">
      <c r="A306" s="81"/>
      <c r="B306" s="81"/>
      <c r="D306" s="81"/>
      <c r="E306" s="81"/>
    </row>
    <row r="307">
      <c r="A307" s="81"/>
      <c r="B307" s="81"/>
      <c r="D307" s="81"/>
      <c r="E307" s="81"/>
    </row>
    <row r="308">
      <c r="A308" s="81"/>
      <c r="B308" s="81"/>
      <c r="D308" s="81"/>
      <c r="E308" s="81"/>
    </row>
    <row r="309">
      <c r="A309" s="81"/>
      <c r="B309" s="81"/>
      <c r="D309" s="81"/>
      <c r="E309" s="81"/>
    </row>
    <row r="310">
      <c r="A310" s="81"/>
      <c r="B310" s="81"/>
      <c r="D310" s="81"/>
      <c r="E310" s="81"/>
    </row>
    <row r="311">
      <c r="A311" s="81"/>
      <c r="B311" s="81"/>
      <c r="D311" s="81"/>
      <c r="E311" s="81"/>
    </row>
    <row r="312">
      <c r="A312" s="81"/>
      <c r="B312" s="81"/>
      <c r="D312" s="81"/>
      <c r="E312" s="81"/>
    </row>
    <row r="313">
      <c r="A313" s="81"/>
      <c r="B313" s="81"/>
      <c r="D313" s="81"/>
      <c r="E313" s="81"/>
    </row>
    <row r="314">
      <c r="A314" s="81"/>
      <c r="B314" s="81"/>
      <c r="D314" s="81"/>
      <c r="E314" s="81"/>
    </row>
    <row r="315">
      <c r="A315" s="81"/>
      <c r="B315" s="81"/>
      <c r="D315" s="81"/>
      <c r="E315" s="81"/>
    </row>
    <row r="316">
      <c r="A316" s="81"/>
      <c r="B316" s="81"/>
      <c r="D316" s="81"/>
      <c r="E316" s="81"/>
    </row>
    <row r="317">
      <c r="A317" s="81"/>
      <c r="B317" s="81"/>
      <c r="D317" s="81"/>
      <c r="E317" s="81"/>
    </row>
    <row r="318">
      <c r="A318" s="81"/>
      <c r="B318" s="81"/>
      <c r="D318" s="81"/>
      <c r="E318" s="81"/>
    </row>
    <row r="319">
      <c r="A319" s="81"/>
      <c r="B319" s="81"/>
      <c r="D319" s="81"/>
      <c r="E319" s="81"/>
    </row>
    <row r="320">
      <c r="A320" s="81"/>
      <c r="B320" s="81"/>
      <c r="D320" s="81"/>
      <c r="E320" s="81"/>
    </row>
    <row r="321">
      <c r="A321" s="81"/>
      <c r="B321" s="81"/>
      <c r="D321" s="81"/>
      <c r="E321" s="81"/>
    </row>
    <row r="322">
      <c r="A322" s="81"/>
      <c r="B322" s="81"/>
      <c r="D322" s="81"/>
      <c r="E322" s="81"/>
    </row>
    <row r="323">
      <c r="A323" s="81"/>
      <c r="B323" s="81"/>
      <c r="D323" s="81"/>
      <c r="E323" s="81"/>
    </row>
    <row r="324">
      <c r="A324" s="81"/>
      <c r="B324" s="81"/>
      <c r="D324" s="81"/>
      <c r="E324" s="81"/>
    </row>
    <row r="325">
      <c r="A325" s="81"/>
      <c r="B325" s="81"/>
      <c r="D325" s="81"/>
      <c r="E325" s="81"/>
    </row>
    <row r="326">
      <c r="A326" s="81"/>
      <c r="B326" s="81"/>
      <c r="D326" s="81"/>
      <c r="E326" s="81"/>
    </row>
    <row r="327">
      <c r="A327" s="81"/>
      <c r="B327" s="81"/>
      <c r="D327" s="81"/>
      <c r="E327" s="81"/>
    </row>
    <row r="328">
      <c r="A328" s="81"/>
      <c r="B328" s="81"/>
      <c r="D328" s="81"/>
      <c r="E328" s="81"/>
    </row>
    <row r="329">
      <c r="A329" s="81"/>
      <c r="B329" s="81"/>
      <c r="D329" s="81"/>
      <c r="E329" s="81"/>
    </row>
    <row r="330">
      <c r="A330" s="81"/>
      <c r="B330" s="81"/>
      <c r="D330" s="81"/>
      <c r="E330" s="81"/>
    </row>
    <row r="331">
      <c r="A331" s="81"/>
      <c r="B331" s="81"/>
      <c r="D331" s="81"/>
      <c r="E331" s="81"/>
    </row>
    <row r="332">
      <c r="A332" s="81"/>
      <c r="B332" s="81"/>
      <c r="D332" s="81"/>
      <c r="E332" s="81"/>
    </row>
    <row r="333">
      <c r="A333" s="81"/>
      <c r="B333" s="81"/>
      <c r="D333" s="81"/>
      <c r="E333" s="81"/>
    </row>
    <row r="334">
      <c r="A334" s="81"/>
      <c r="B334" s="81"/>
      <c r="D334" s="81"/>
      <c r="E334" s="81"/>
    </row>
    <row r="335">
      <c r="A335" s="81"/>
      <c r="B335" s="81"/>
      <c r="D335" s="81"/>
      <c r="E335" s="81"/>
    </row>
    <row r="336">
      <c r="A336" s="81"/>
      <c r="B336" s="81"/>
      <c r="D336" s="81"/>
      <c r="E336" s="81"/>
    </row>
    <row r="337">
      <c r="A337" s="81"/>
      <c r="B337" s="81"/>
      <c r="D337" s="81"/>
      <c r="E337" s="81"/>
    </row>
    <row r="338">
      <c r="A338" s="81"/>
      <c r="B338" s="81"/>
      <c r="D338" s="81"/>
      <c r="E338" s="81"/>
    </row>
    <row r="339">
      <c r="A339" s="81"/>
      <c r="B339" s="81"/>
      <c r="D339" s="81"/>
      <c r="E339" s="81"/>
    </row>
    <row r="340">
      <c r="A340" s="81"/>
      <c r="B340" s="81"/>
      <c r="D340" s="81"/>
      <c r="E340" s="81"/>
    </row>
    <row r="341">
      <c r="A341" s="81"/>
      <c r="B341" s="81"/>
      <c r="D341" s="81"/>
      <c r="E341" s="81"/>
    </row>
    <row r="342">
      <c r="A342" s="81"/>
      <c r="B342" s="81"/>
      <c r="D342" s="81"/>
      <c r="E342" s="81"/>
    </row>
    <row r="343">
      <c r="A343" s="81"/>
      <c r="B343" s="81"/>
      <c r="D343" s="81"/>
      <c r="E343" s="81"/>
    </row>
    <row r="344">
      <c r="A344" s="81"/>
      <c r="B344" s="81"/>
      <c r="D344" s="81"/>
      <c r="E344" s="81"/>
    </row>
    <row r="345">
      <c r="A345" s="81"/>
      <c r="B345" s="81"/>
      <c r="D345" s="81"/>
      <c r="E345" s="81"/>
    </row>
    <row r="346">
      <c r="A346" s="81"/>
      <c r="B346" s="81"/>
      <c r="D346" s="81"/>
      <c r="E346" s="81"/>
    </row>
    <row r="347">
      <c r="A347" s="81"/>
      <c r="B347" s="81"/>
      <c r="D347" s="81"/>
      <c r="E347" s="81"/>
    </row>
    <row r="348">
      <c r="A348" s="81"/>
      <c r="B348" s="81"/>
      <c r="D348" s="81"/>
      <c r="E348" s="81"/>
    </row>
    <row r="349">
      <c r="A349" s="81"/>
      <c r="B349" s="81"/>
      <c r="D349" s="81"/>
      <c r="E349" s="81"/>
    </row>
    <row r="350">
      <c r="A350" s="81"/>
      <c r="B350" s="81"/>
      <c r="D350" s="81"/>
      <c r="E350" s="81"/>
    </row>
    <row r="351">
      <c r="A351" s="81"/>
      <c r="B351" s="81"/>
      <c r="D351" s="81"/>
      <c r="E351" s="81"/>
    </row>
    <row r="352">
      <c r="A352" s="81"/>
      <c r="B352" s="81"/>
      <c r="D352" s="81"/>
      <c r="E352" s="81"/>
    </row>
    <row r="353">
      <c r="A353" s="81"/>
      <c r="B353" s="81"/>
      <c r="D353" s="81"/>
      <c r="E353" s="81"/>
    </row>
    <row r="354">
      <c r="A354" s="81"/>
      <c r="B354" s="81"/>
      <c r="D354" s="81"/>
      <c r="E354" s="81"/>
    </row>
    <row r="355">
      <c r="A355" s="81"/>
      <c r="B355" s="81"/>
      <c r="D355" s="81"/>
      <c r="E355" s="81"/>
    </row>
    <row r="356">
      <c r="A356" s="81"/>
      <c r="B356" s="81"/>
      <c r="D356" s="81"/>
      <c r="E356" s="81"/>
    </row>
    <row r="357">
      <c r="A357" s="81"/>
      <c r="B357" s="81"/>
      <c r="D357" s="81"/>
      <c r="E357" s="81"/>
    </row>
    <row r="358">
      <c r="A358" s="81"/>
      <c r="B358" s="81"/>
      <c r="D358" s="81"/>
      <c r="E358" s="81"/>
    </row>
    <row r="359">
      <c r="A359" s="81"/>
      <c r="B359" s="81"/>
      <c r="D359" s="81"/>
      <c r="E359" s="81"/>
    </row>
    <row r="360">
      <c r="A360" s="81"/>
      <c r="B360" s="81"/>
      <c r="D360" s="81"/>
      <c r="E360" s="81"/>
    </row>
    <row r="361">
      <c r="A361" s="81"/>
      <c r="B361" s="81"/>
      <c r="D361" s="81"/>
      <c r="E361" s="81"/>
    </row>
    <row r="362">
      <c r="A362" s="81"/>
      <c r="B362" s="81"/>
      <c r="D362" s="81"/>
      <c r="E362" s="81"/>
    </row>
    <row r="363">
      <c r="A363" s="81"/>
      <c r="B363" s="81"/>
      <c r="D363" s="81"/>
      <c r="E363" s="81"/>
    </row>
    <row r="364">
      <c r="A364" s="81"/>
      <c r="B364" s="81"/>
      <c r="D364" s="81"/>
      <c r="E364" s="81"/>
    </row>
    <row r="365">
      <c r="A365" s="81"/>
      <c r="B365" s="81"/>
      <c r="D365" s="81"/>
      <c r="E365" s="81"/>
    </row>
    <row r="366">
      <c r="A366" s="81"/>
      <c r="B366" s="81"/>
      <c r="D366" s="81"/>
      <c r="E366" s="81"/>
    </row>
    <row r="367">
      <c r="A367" s="81"/>
      <c r="B367" s="81"/>
      <c r="D367" s="81"/>
      <c r="E367" s="81"/>
    </row>
    <row r="368">
      <c r="A368" s="81"/>
      <c r="B368" s="81"/>
      <c r="D368" s="81"/>
      <c r="E368" s="81"/>
    </row>
    <row r="369">
      <c r="A369" s="81"/>
      <c r="B369" s="81"/>
      <c r="D369" s="81"/>
      <c r="E369" s="81"/>
    </row>
    <row r="370">
      <c r="A370" s="81"/>
      <c r="B370" s="81"/>
      <c r="D370" s="81"/>
      <c r="E370" s="81"/>
    </row>
    <row r="371">
      <c r="A371" s="81"/>
      <c r="B371" s="81"/>
      <c r="D371" s="81"/>
      <c r="E371" s="81"/>
    </row>
    <row r="372">
      <c r="A372" s="81"/>
      <c r="B372" s="81"/>
      <c r="D372" s="81"/>
      <c r="E372" s="81"/>
    </row>
    <row r="373">
      <c r="A373" s="81"/>
      <c r="B373" s="81"/>
      <c r="D373" s="81"/>
      <c r="E373" s="81"/>
    </row>
    <row r="374">
      <c r="A374" s="81"/>
      <c r="B374" s="81"/>
      <c r="D374" s="81"/>
      <c r="E374" s="81"/>
    </row>
    <row r="375">
      <c r="A375" s="81"/>
      <c r="B375" s="81"/>
      <c r="D375" s="81"/>
      <c r="E375" s="81"/>
    </row>
    <row r="376">
      <c r="A376" s="81"/>
      <c r="B376" s="81"/>
      <c r="D376" s="81"/>
      <c r="E376" s="81"/>
    </row>
    <row r="377">
      <c r="A377" s="81"/>
      <c r="B377" s="81"/>
      <c r="D377" s="81"/>
      <c r="E377" s="81"/>
    </row>
    <row r="378">
      <c r="A378" s="81"/>
      <c r="B378" s="81"/>
      <c r="D378" s="81"/>
      <c r="E378" s="81"/>
    </row>
    <row r="379">
      <c r="A379" s="81"/>
      <c r="B379" s="81"/>
      <c r="D379" s="81"/>
      <c r="E379" s="81"/>
    </row>
    <row r="380">
      <c r="A380" s="81"/>
      <c r="B380" s="81"/>
      <c r="D380" s="81"/>
      <c r="E380" s="81"/>
    </row>
    <row r="381">
      <c r="A381" s="81"/>
      <c r="B381" s="81"/>
      <c r="D381" s="81"/>
      <c r="E381" s="81"/>
    </row>
    <row r="382">
      <c r="A382" s="81"/>
      <c r="B382" s="81"/>
      <c r="D382" s="81"/>
      <c r="E382" s="81"/>
    </row>
    <row r="383">
      <c r="A383" s="81"/>
      <c r="B383" s="81"/>
      <c r="D383" s="81"/>
      <c r="E383" s="81"/>
    </row>
    <row r="384">
      <c r="A384" s="81"/>
      <c r="B384" s="81"/>
      <c r="D384" s="81"/>
      <c r="E384" s="81"/>
    </row>
    <row r="385">
      <c r="A385" s="81"/>
      <c r="B385" s="81"/>
      <c r="D385" s="81"/>
      <c r="E385" s="81"/>
    </row>
    <row r="386">
      <c r="A386" s="81"/>
      <c r="B386" s="81"/>
      <c r="D386" s="81"/>
      <c r="E386" s="81"/>
    </row>
    <row r="387">
      <c r="A387" s="81"/>
      <c r="B387" s="81"/>
      <c r="D387" s="81"/>
      <c r="E387" s="81"/>
    </row>
    <row r="388">
      <c r="A388" s="81"/>
      <c r="B388" s="81"/>
      <c r="D388" s="81"/>
      <c r="E388" s="81"/>
    </row>
    <row r="389">
      <c r="A389" s="81"/>
      <c r="B389" s="81"/>
      <c r="D389" s="81"/>
      <c r="E389" s="81"/>
    </row>
    <row r="390">
      <c r="A390" s="81"/>
      <c r="B390" s="81"/>
      <c r="D390" s="81"/>
      <c r="E390" s="81"/>
    </row>
    <row r="391">
      <c r="A391" s="81"/>
      <c r="B391" s="81"/>
      <c r="D391" s="81"/>
      <c r="E391" s="81"/>
    </row>
    <row r="392">
      <c r="A392" s="81"/>
      <c r="B392" s="81"/>
      <c r="D392" s="81"/>
      <c r="E392" s="81"/>
    </row>
    <row r="393">
      <c r="A393" s="81"/>
      <c r="B393" s="81"/>
      <c r="D393" s="81"/>
      <c r="E393" s="81"/>
    </row>
    <row r="394">
      <c r="A394" s="81"/>
      <c r="B394" s="81"/>
      <c r="D394" s="81"/>
      <c r="E394" s="81"/>
    </row>
    <row r="395">
      <c r="A395" s="81"/>
      <c r="B395" s="81"/>
      <c r="D395" s="81"/>
      <c r="E395" s="81"/>
    </row>
    <row r="396">
      <c r="A396" s="81"/>
      <c r="B396" s="81"/>
      <c r="D396" s="81"/>
      <c r="E396" s="81"/>
    </row>
    <row r="397">
      <c r="A397" s="81"/>
      <c r="B397" s="81"/>
      <c r="D397" s="81"/>
      <c r="E397" s="81"/>
    </row>
    <row r="398">
      <c r="A398" s="81"/>
      <c r="B398" s="81"/>
      <c r="D398" s="81"/>
      <c r="E398" s="81"/>
    </row>
    <row r="399">
      <c r="A399" s="81"/>
      <c r="B399" s="81"/>
      <c r="D399" s="81"/>
      <c r="E399" s="81"/>
    </row>
    <row r="400">
      <c r="A400" s="81"/>
      <c r="B400" s="81"/>
      <c r="D400" s="81"/>
      <c r="E400" s="81"/>
    </row>
    <row r="401">
      <c r="A401" s="81"/>
      <c r="B401" s="81"/>
      <c r="D401" s="81"/>
      <c r="E401" s="81"/>
    </row>
    <row r="402">
      <c r="A402" s="81"/>
      <c r="B402" s="81"/>
      <c r="D402" s="81"/>
      <c r="E402" s="81"/>
    </row>
    <row r="403">
      <c r="A403" s="81"/>
      <c r="B403" s="81"/>
      <c r="D403" s="81"/>
      <c r="E403" s="81"/>
    </row>
    <row r="404">
      <c r="A404" s="81"/>
      <c r="B404" s="81"/>
      <c r="D404" s="81"/>
      <c r="E404" s="81"/>
    </row>
    <row r="405">
      <c r="A405" s="81"/>
      <c r="B405" s="81"/>
      <c r="D405" s="81"/>
      <c r="E405" s="81"/>
    </row>
    <row r="406">
      <c r="A406" s="81"/>
      <c r="B406" s="81"/>
      <c r="D406" s="81"/>
      <c r="E406" s="81"/>
    </row>
    <row r="407">
      <c r="A407" s="81"/>
      <c r="B407" s="81"/>
      <c r="D407" s="81"/>
      <c r="E407" s="81"/>
    </row>
    <row r="408">
      <c r="A408" s="81"/>
      <c r="B408" s="81"/>
      <c r="D408" s="81"/>
      <c r="E408" s="81"/>
    </row>
    <row r="409">
      <c r="A409" s="81"/>
      <c r="B409" s="81"/>
      <c r="D409" s="81"/>
      <c r="E409" s="81"/>
    </row>
    <row r="410">
      <c r="A410" s="81"/>
      <c r="B410" s="81"/>
      <c r="D410" s="81"/>
      <c r="E410" s="81"/>
    </row>
    <row r="411">
      <c r="A411" s="81"/>
      <c r="B411" s="81"/>
      <c r="D411" s="81"/>
      <c r="E411" s="81"/>
    </row>
    <row r="412">
      <c r="A412" s="81"/>
      <c r="B412" s="81"/>
      <c r="D412" s="81"/>
      <c r="E412" s="81"/>
    </row>
    <row r="413">
      <c r="A413" s="81"/>
      <c r="B413" s="81"/>
      <c r="D413" s="81"/>
      <c r="E413" s="81"/>
    </row>
    <row r="414">
      <c r="A414" s="81"/>
      <c r="B414" s="81"/>
      <c r="D414" s="81"/>
      <c r="E414" s="81"/>
    </row>
    <row r="415">
      <c r="A415" s="81"/>
      <c r="B415" s="81"/>
      <c r="D415" s="81"/>
      <c r="E415" s="81"/>
    </row>
    <row r="416">
      <c r="A416" s="81"/>
      <c r="B416" s="81"/>
      <c r="D416" s="81"/>
      <c r="E416" s="81"/>
    </row>
    <row r="417">
      <c r="A417" s="81"/>
      <c r="B417" s="81"/>
      <c r="D417" s="81"/>
      <c r="E417" s="81"/>
    </row>
    <row r="418">
      <c r="A418" s="81"/>
      <c r="B418" s="81"/>
      <c r="D418" s="81"/>
      <c r="E418" s="81"/>
    </row>
    <row r="419">
      <c r="A419" s="81"/>
      <c r="B419" s="81"/>
      <c r="D419" s="81"/>
      <c r="E419" s="81"/>
    </row>
    <row r="420">
      <c r="A420" s="81"/>
      <c r="B420" s="81"/>
      <c r="D420" s="81"/>
      <c r="E420" s="81"/>
    </row>
    <row r="421">
      <c r="A421" s="81"/>
      <c r="B421" s="81"/>
      <c r="D421" s="81"/>
      <c r="E421" s="81"/>
    </row>
    <row r="422">
      <c r="A422" s="81"/>
      <c r="B422" s="81"/>
      <c r="D422" s="81"/>
      <c r="E422" s="81"/>
    </row>
    <row r="423">
      <c r="A423" s="81"/>
      <c r="B423" s="81"/>
      <c r="D423" s="81"/>
      <c r="E423" s="81"/>
    </row>
    <row r="424">
      <c r="A424" s="81"/>
      <c r="B424" s="81"/>
      <c r="D424" s="81"/>
      <c r="E424" s="81"/>
    </row>
    <row r="425">
      <c r="A425" s="81"/>
      <c r="B425" s="81"/>
      <c r="D425" s="81"/>
      <c r="E425" s="81"/>
    </row>
    <row r="426">
      <c r="A426" s="81"/>
      <c r="B426" s="81"/>
      <c r="D426" s="81"/>
      <c r="E426" s="81"/>
    </row>
    <row r="427">
      <c r="A427" s="81"/>
      <c r="B427" s="81"/>
      <c r="D427" s="81"/>
      <c r="E427" s="81"/>
    </row>
    <row r="428">
      <c r="A428" s="81"/>
      <c r="B428" s="81"/>
      <c r="D428" s="81"/>
      <c r="E428" s="81"/>
    </row>
    <row r="429">
      <c r="A429" s="81"/>
      <c r="B429" s="81"/>
      <c r="D429" s="81"/>
      <c r="E429" s="81"/>
    </row>
    <row r="430">
      <c r="A430" s="81"/>
      <c r="B430" s="81"/>
      <c r="D430" s="81"/>
      <c r="E430" s="81"/>
    </row>
    <row r="431">
      <c r="A431" s="81"/>
      <c r="B431" s="81"/>
      <c r="D431" s="81"/>
      <c r="E431" s="81"/>
    </row>
    <row r="432">
      <c r="A432" s="81"/>
      <c r="B432" s="81"/>
      <c r="D432" s="81"/>
      <c r="E432" s="81"/>
    </row>
    <row r="433">
      <c r="A433" s="81"/>
      <c r="B433" s="81"/>
      <c r="D433" s="81"/>
      <c r="E433" s="81"/>
    </row>
    <row r="434">
      <c r="A434" s="81"/>
      <c r="B434" s="81"/>
      <c r="D434" s="81"/>
      <c r="E434" s="81"/>
    </row>
    <row r="435">
      <c r="A435" s="81"/>
      <c r="B435" s="81"/>
      <c r="D435" s="81"/>
      <c r="E435" s="81"/>
    </row>
    <row r="436">
      <c r="A436" s="81"/>
      <c r="B436" s="81"/>
      <c r="D436" s="81"/>
      <c r="E436" s="81"/>
    </row>
    <row r="437">
      <c r="A437" s="81"/>
      <c r="B437" s="81"/>
      <c r="D437" s="81"/>
      <c r="E437" s="81"/>
    </row>
    <row r="438">
      <c r="A438" s="81"/>
      <c r="B438" s="81"/>
      <c r="D438" s="81"/>
      <c r="E438" s="81"/>
    </row>
    <row r="439">
      <c r="A439" s="81"/>
      <c r="B439" s="81"/>
      <c r="D439" s="81"/>
      <c r="E439" s="81"/>
    </row>
    <row r="440">
      <c r="A440" s="81"/>
      <c r="B440" s="81"/>
      <c r="D440" s="81"/>
      <c r="E440" s="81"/>
    </row>
    <row r="441">
      <c r="A441" s="81"/>
      <c r="B441" s="81"/>
      <c r="D441" s="81"/>
      <c r="E441" s="81"/>
    </row>
    <row r="442">
      <c r="A442" s="81"/>
      <c r="B442" s="81"/>
      <c r="D442" s="81"/>
      <c r="E442" s="81"/>
    </row>
    <row r="443">
      <c r="A443" s="81"/>
      <c r="B443" s="81"/>
      <c r="D443" s="81"/>
      <c r="E443" s="81"/>
    </row>
    <row r="444">
      <c r="A444" s="81"/>
      <c r="B444" s="81"/>
      <c r="D444" s="81"/>
      <c r="E444" s="81"/>
    </row>
    <row r="445">
      <c r="A445" s="81"/>
      <c r="B445" s="81"/>
      <c r="D445" s="81"/>
      <c r="E445" s="81"/>
    </row>
    <row r="446">
      <c r="A446" s="81"/>
      <c r="B446" s="81"/>
      <c r="D446" s="81"/>
      <c r="E446" s="81"/>
    </row>
    <row r="447">
      <c r="A447" s="81"/>
      <c r="B447" s="81"/>
      <c r="D447" s="81"/>
      <c r="E447" s="81"/>
    </row>
    <row r="448">
      <c r="A448" s="81"/>
      <c r="B448" s="81"/>
      <c r="D448" s="81"/>
      <c r="E448" s="81"/>
    </row>
    <row r="449">
      <c r="A449" s="81"/>
      <c r="B449" s="81"/>
      <c r="D449" s="81"/>
      <c r="E449" s="81"/>
    </row>
    <row r="450">
      <c r="A450" s="81"/>
      <c r="B450" s="81"/>
      <c r="D450" s="81"/>
      <c r="E450" s="81"/>
    </row>
    <row r="451">
      <c r="A451" s="81"/>
      <c r="B451" s="81"/>
      <c r="D451" s="81"/>
      <c r="E451" s="81"/>
    </row>
    <row r="452">
      <c r="A452" s="81"/>
      <c r="B452" s="81"/>
      <c r="D452" s="81"/>
      <c r="E452" s="81"/>
    </row>
    <row r="453">
      <c r="A453" s="81"/>
      <c r="B453" s="81"/>
      <c r="D453" s="81"/>
      <c r="E453" s="81"/>
    </row>
    <row r="454">
      <c r="A454" s="81"/>
      <c r="B454" s="81"/>
      <c r="D454" s="81"/>
      <c r="E454" s="81"/>
    </row>
    <row r="455">
      <c r="A455" s="81"/>
      <c r="B455" s="81"/>
      <c r="D455" s="81"/>
      <c r="E455" s="81"/>
    </row>
    <row r="456">
      <c r="A456" s="81"/>
      <c r="B456" s="81"/>
      <c r="D456" s="81"/>
      <c r="E456" s="81"/>
    </row>
    <row r="457">
      <c r="A457" s="81"/>
      <c r="B457" s="81"/>
      <c r="D457" s="81"/>
      <c r="E457" s="81"/>
    </row>
    <row r="458">
      <c r="A458" s="81"/>
      <c r="B458" s="81"/>
      <c r="D458" s="81"/>
      <c r="E458" s="81"/>
    </row>
    <row r="459">
      <c r="A459" s="81"/>
      <c r="B459" s="81"/>
      <c r="D459" s="81"/>
      <c r="E459" s="81"/>
    </row>
    <row r="460">
      <c r="A460" s="81"/>
      <c r="B460" s="81"/>
      <c r="D460" s="81"/>
      <c r="E460" s="81"/>
    </row>
    <row r="461">
      <c r="A461" s="81"/>
      <c r="B461" s="81"/>
      <c r="D461" s="81"/>
      <c r="E461" s="81"/>
    </row>
    <row r="462">
      <c r="A462" s="81"/>
      <c r="B462" s="81"/>
      <c r="D462" s="81"/>
      <c r="E462" s="81"/>
    </row>
    <row r="463">
      <c r="A463" s="81"/>
      <c r="B463" s="81"/>
      <c r="D463" s="81"/>
      <c r="E463" s="81"/>
    </row>
    <row r="464">
      <c r="A464" s="81"/>
      <c r="B464" s="81"/>
      <c r="D464" s="81"/>
      <c r="E464" s="81"/>
    </row>
    <row r="465">
      <c r="A465" s="81"/>
      <c r="B465" s="81"/>
      <c r="D465" s="81"/>
      <c r="E465" s="81"/>
    </row>
    <row r="466">
      <c r="A466" s="81"/>
      <c r="B466" s="81"/>
      <c r="D466" s="81"/>
      <c r="E466" s="81"/>
    </row>
    <row r="467">
      <c r="A467" s="81"/>
      <c r="B467" s="81"/>
      <c r="D467" s="81"/>
      <c r="E467" s="81"/>
    </row>
    <row r="468">
      <c r="A468" s="81"/>
      <c r="B468" s="81"/>
      <c r="D468" s="81"/>
      <c r="E468" s="81"/>
    </row>
    <row r="469">
      <c r="A469" s="81"/>
      <c r="B469" s="81"/>
      <c r="D469" s="81"/>
      <c r="E469" s="81"/>
    </row>
    <row r="470">
      <c r="A470" s="81"/>
      <c r="B470" s="81"/>
      <c r="D470" s="81"/>
      <c r="E470" s="81"/>
    </row>
    <row r="471">
      <c r="A471" s="81"/>
      <c r="B471" s="81"/>
      <c r="D471" s="81"/>
      <c r="E471" s="81"/>
    </row>
    <row r="472">
      <c r="A472" s="81"/>
      <c r="B472" s="81"/>
      <c r="D472" s="81"/>
      <c r="E472" s="81"/>
    </row>
    <row r="473">
      <c r="A473" s="81"/>
      <c r="B473" s="81"/>
      <c r="D473" s="81"/>
      <c r="E473" s="81"/>
    </row>
    <row r="474">
      <c r="A474" s="81"/>
      <c r="B474" s="81"/>
      <c r="D474" s="81"/>
      <c r="E474" s="81"/>
    </row>
    <row r="475">
      <c r="A475" s="81"/>
      <c r="B475" s="81"/>
      <c r="D475" s="81"/>
      <c r="E475" s="81"/>
    </row>
    <row r="476">
      <c r="A476" s="81"/>
      <c r="B476" s="81"/>
      <c r="D476" s="81"/>
      <c r="E476" s="81"/>
    </row>
    <row r="477">
      <c r="A477" s="81"/>
      <c r="B477" s="81"/>
      <c r="D477" s="81"/>
      <c r="E477" s="81"/>
    </row>
    <row r="478">
      <c r="A478" s="81"/>
      <c r="B478" s="81"/>
      <c r="D478" s="81"/>
      <c r="E478" s="81"/>
    </row>
    <row r="479">
      <c r="A479" s="81"/>
      <c r="B479" s="81"/>
      <c r="D479" s="81"/>
      <c r="E479" s="81"/>
    </row>
    <row r="480">
      <c r="A480" s="81"/>
      <c r="B480" s="81"/>
      <c r="D480" s="81"/>
      <c r="E480" s="81"/>
    </row>
    <row r="481">
      <c r="A481" s="81"/>
      <c r="B481" s="81"/>
      <c r="D481" s="81"/>
      <c r="E481" s="81"/>
    </row>
    <row r="482">
      <c r="A482" s="81"/>
      <c r="B482" s="81"/>
      <c r="D482" s="81"/>
      <c r="E482" s="81"/>
    </row>
    <row r="483">
      <c r="A483" s="81"/>
      <c r="B483" s="81"/>
      <c r="D483" s="81"/>
      <c r="E483" s="81"/>
    </row>
    <row r="484">
      <c r="A484" s="81"/>
      <c r="B484" s="81"/>
      <c r="D484" s="81"/>
      <c r="E484" s="81"/>
    </row>
    <row r="485">
      <c r="A485" s="81"/>
      <c r="B485" s="81"/>
      <c r="D485" s="81"/>
      <c r="E485" s="81"/>
    </row>
    <row r="486">
      <c r="A486" s="81"/>
      <c r="B486" s="81"/>
      <c r="D486" s="81"/>
      <c r="E486" s="81"/>
    </row>
    <row r="487">
      <c r="A487" s="81"/>
      <c r="B487" s="81"/>
      <c r="D487" s="81"/>
      <c r="E487" s="81"/>
    </row>
    <row r="488">
      <c r="A488" s="81"/>
      <c r="B488" s="81"/>
      <c r="D488" s="81"/>
      <c r="E488" s="81"/>
    </row>
    <row r="489">
      <c r="A489" s="81"/>
      <c r="B489" s="81"/>
      <c r="D489" s="81"/>
      <c r="E489" s="81"/>
    </row>
    <row r="490">
      <c r="A490" s="81"/>
      <c r="B490" s="81"/>
      <c r="D490" s="81"/>
      <c r="E490" s="81"/>
    </row>
    <row r="491">
      <c r="A491" s="81"/>
      <c r="B491" s="81"/>
      <c r="D491" s="81"/>
      <c r="E491" s="81"/>
    </row>
    <row r="492">
      <c r="A492" s="81"/>
      <c r="B492" s="81"/>
      <c r="D492" s="81"/>
      <c r="E492" s="81"/>
    </row>
    <row r="493">
      <c r="A493" s="81"/>
      <c r="B493" s="81"/>
      <c r="D493" s="81"/>
      <c r="E493" s="81"/>
    </row>
    <row r="494">
      <c r="A494" s="81"/>
      <c r="B494" s="81"/>
      <c r="D494" s="81"/>
      <c r="E494" s="81"/>
    </row>
    <row r="495">
      <c r="A495" s="81"/>
      <c r="B495" s="81"/>
      <c r="D495" s="81"/>
      <c r="E495" s="81"/>
    </row>
    <row r="496">
      <c r="A496" s="81"/>
      <c r="B496" s="81"/>
      <c r="D496" s="81"/>
      <c r="E496" s="81"/>
    </row>
    <row r="497">
      <c r="A497" s="81"/>
      <c r="B497" s="81"/>
      <c r="D497" s="81"/>
      <c r="E497" s="81"/>
    </row>
    <row r="498">
      <c r="A498" s="81"/>
      <c r="B498" s="81"/>
      <c r="D498" s="81"/>
      <c r="E498" s="81"/>
    </row>
    <row r="499">
      <c r="A499" s="81"/>
      <c r="B499" s="81"/>
      <c r="D499" s="81"/>
      <c r="E499" s="81"/>
    </row>
    <row r="500">
      <c r="A500" s="81"/>
      <c r="B500" s="81"/>
      <c r="D500" s="81"/>
      <c r="E500" s="81"/>
    </row>
    <row r="501">
      <c r="A501" s="81"/>
      <c r="B501" s="81"/>
      <c r="D501" s="81"/>
      <c r="E501" s="81"/>
    </row>
    <row r="502">
      <c r="A502" s="81"/>
      <c r="B502" s="81"/>
      <c r="D502" s="81"/>
      <c r="E502" s="81"/>
    </row>
    <row r="503">
      <c r="A503" s="81"/>
      <c r="B503" s="81"/>
      <c r="D503" s="81"/>
      <c r="E503" s="81"/>
    </row>
    <row r="504">
      <c r="A504" s="81"/>
      <c r="B504" s="81"/>
      <c r="D504" s="81"/>
      <c r="E504" s="81"/>
    </row>
    <row r="505">
      <c r="A505" s="81"/>
      <c r="B505" s="81"/>
      <c r="D505" s="81"/>
      <c r="E505" s="81"/>
    </row>
    <row r="506">
      <c r="A506" s="81"/>
      <c r="B506" s="81"/>
      <c r="D506" s="81"/>
      <c r="E506" s="81"/>
    </row>
    <row r="507">
      <c r="A507" s="81"/>
      <c r="B507" s="81"/>
      <c r="D507" s="81"/>
      <c r="E507" s="81"/>
    </row>
    <row r="508">
      <c r="A508" s="81"/>
      <c r="B508" s="81"/>
      <c r="D508" s="81"/>
      <c r="E508" s="81"/>
    </row>
    <row r="509">
      <c r="A509" s="81"/>
      <c r="B509" s="81"/>
      <c r="D509" s="81"/>
      <c r="E509" s="81"/>
    </row>
    <row r="510">
      <c r="A510" s="81"/>
      <c r="B510" s="81"/>
      <c r="D510" s="81"/>
      <c r="E510" s="81"/>
    </row>
    <row r="511">
      <c r="A511" s="81"/>
      <c r="B511" s="81"/>
      <c r="D511" s="81"/>
      <c r="E511" s="81"/>
    </row>
    <row r="512">
      <c r="A512" s="81"/>
      <c r="B512" s="81"/>
      <c r="D512" s="81"/>
      <c r="E512" s="81"/>
    </row>
    <row r="513">
      <c r="A513" s="81"/>
      <c r="B513" s="81"/>
      <c r="D513" s="81"/>
      <c r="E513" s="81"/>
    </row>
    <row r="514">
      <c r="A514" s="81"/>
      <c r="B514" s="81"/>
      <c r="D514" s="81"/>
      <c r="E514" s="81"/>
    </row>
    <row r="515">
      <c r="A515" s="81"/>
      <c r="B515" s="81"/>
      <c r="D515" s="81"/>
      <c r="E515" s="81"/>
    </row>
    <row r="516">
      <c r="A516" s="81"/>
      <c r="B516" s="81"/>
      <c r="D516" s="81"/>
      <c r="E516" s="81"/>
    </row>
    <row r="517">
      <c r="A517" s="81"/>
      <c r="B517" s="81"/>
      <c r="D517" s="81"/>
      <c r="E517" s="81"/>
    </row>
    <row r="518">
      <c r="A518" s="81"/>
      <c r="B518" s="81"/>
      <c r="D518" s="81"/>
      <c r="E518" s="81"/>
    </row>
    <row r="519">
      <c r="A519" s="81"/>
      <c r="B519" s="81"/>
      <c r="D519" s="81"/>
      <c r="E519" s="81"/>
    </row>
    <row r="520">
      <c r="A520" s="81"/>
      <c r="B520" s="81"/>
      <c r="D520" s="81"/>
      <c r="E520" s="81"/>
    </row>
    <row r="521">
      <c r="A521" s="81"/>
      <c r="B521" s="81"/>
      <c r="D521" s="81"/>
      <c r="E521" s="81"/>
    </row>
    <row r="522">
      <c r="A522" s="81"/>
      <c r="B522" s="81"/>
      <c r="D522" s="81"/>
      <c r="E522" s="81"/>
    </row>
    <row r="523">
      <c r="A523" s="81"/>
      <c r="B523" s="81"/>
      <c r="D523" s="81"/>
      <c r="E523" s="81"/>
    </row>
    <row r="524">
      <c r="A524" s="81"/>
      <c r="B524" s="81"/>
      <c r="D524" s="81"/>
      <c r="E524" s="81"/>
    </row>
    <row r="525">
      <c r="A525" s="81"/>
      <c r="B525" s="81"/>
      <c r="D525" s="81"/>
      <c r="E525" s="81"/>
    </row>
    <row r="526">
      <c r="A526" s="81"/>
      <c r="B526" s="81"/>
      <c r="D526" s="81"/>
      <c r="E526" s="81"/>
    </row>
    <row r="527">
      <c r="A527" s="81"/>
      <c r="B527" s="81"/>
      <c r="D527" s="81"/>
      <c r="E527" s="81"/>
    </row>
    <row r="528">
      <c r="A528" s="81"/>
      <c r="B528" s="81"/>
      <c r="D528" s="81"/>
      <c r="E528" s="81"/>
    </row>
    <row r="529">
      <c r="A529" s="81"/>
      <c r="B529" s="81"/>
      <c r="D529" s="81"/>
      <c r="E529" s="81"/>
    </row>
    <row r="530">
      <c r="A530" s="81"/>
      <c r="B530" s="81"/>
      <c r="D530" s="81"/>
      <c r="E530" s="81"/>
    </row>
    <row r="531">
      <c r="A531" s="81"/>
      <c r="B531" s="81"/>
      <c r="D531" s="81"/>
      <c r="E531" s="81"/>
    </row>
    <row r="532">
      <c r="A532" s="81"/>
      <c r="B532" s="81"/>
      <c r="D532" s="81"/>
      <c r="E532" s="81"/>
    </row>
    <row r="533">
      <c r="A533" s="81"/>
      <c r="B533" s="81"/>
      <c r="D533" s="81"/>
      <c r="E533" s="81"/>
    </row>
    <row r="534">
      <c r="A534" s="81"/>
      <c r="B534" s="81"/>
      <c r="D534" s="81"/>
      <c r="E534" s="81"/>
    </row>
    <row r="535">
      <c r="A535" s="81"/>
      <c r="B535" s="81"/>
      <c r="D535" s="81"/>
      <c r="E535" s="81"/>
    </row>
    <row r="536">
      <c r="A536" s="81"/>
      <c r="B536" s="81"/>
      <c r="D536" s="81"/>
      <c r="E536" s="81"/>
    </row>
    <row r="537">
      <c r="A537" s="81"/>
      <c r="B537" s="81"/>
      <c r="D537" s="81"/>
      <c r="E537" s="81"/>
    </row>
    <row r="538">
      <c r="A538" s="81"/>
      <c r="B538" s="81"/>
      <c r="D538" s="81"/>
      <c r="E538" s="81"/>
    </row>
    <row r="539">
      <c r="A539" s="81"/>
      <c r="B539" s="81"/>
      <c r="D539" s="81"/>
      <c r="E539" s="81"/>
    </row>
    <row r="540">
      <c r="A540" s="81"/>
      <c r="B540" s="81"/>
      <c r="D540" s="81"/>
      <c r="E540" s="81"/>
    </row>
    <row r="541">
      <c r="A541" s="81"/>
      <c r="B541" s="81"/>
      <c r="D541" s="81"/>
      <c r="E541" s="81"/>
    </row>
    <row r="542">
      <c r="A542" s="81"/>
      <c r="B542" s="81"/>
      <c r="D542" s="81"/>
      <c r="E542" s="81"/>
    </row>
    <row r="543">
      <c r="A543" s="81"/>
      <c r="B543" s="81"/>
      <c r="D543" s="81"/>
      <c r="E543" s="81"/>
    </row>
    <row r="544">
      <c r="A544" s="81"/>
      <c r="B544" s="81"/>
      <c r="D544" s="81"/>
      <c r="E544" s="81"/>
    </row>
    <row r="545">
      <c r="A545" s="81"/>
      <c r="B545" s="81"/>
      <c r="D545" s="81"/>
      <c r="E545" s="81"/>
    </row>
    <row r="546">
      <c r="A546" s="81"/>
      <c r="B546" s="81"/>
      <c r="D546" s="81"/>
      <c r="E546" s="81"/>
    </row>
    <row r="547">
      <c r="A547" s="81"/>
      <c r="B547" s="81"/>
      <c r="D547" s="81"/>
      <c r="E547" s="81"/>
    </row>
    <row r="548">
      <c r="A548" s="81"/>
      <c r="B548" s="81"/>
      <c r="D548" s="81"/>
      <c r="E548" s="81"/>
    </row>
    <row r="549">
      <c r="A549" s="81"/>
      <c r="B549" s="81"/>
      <c r="D549" s="81"/>
      <c r="E549" s="81"/>
    </row>
    <row r="550">
      <c r="A550" s="81"/>
      <c r="B550" s="81"/>
      <c r="D550" s="81"/>
      <c r="E550" s="81"/>
    </row>
    <row r="551">
      <c r="A551" s="81"/>
      <c r="B551" s="81"/>
      <c r="D551" s="81"/>
      <c r="E551" s="81"/>
    </row>
    <row r="552">
      <c r="A552" s="81"/>
      <c r="B552" s="81"/>
      <c r="D552" s="81"/>
      <c r="E552" s="81"/>
    </row>
    <row r="553">
      <c r="A553" s="81"/>
      <c r="B553" s="81"/>
      <c r="D553" s="81"/>
      <c r="E553" s="81"/>
    </row>
    <row r="554">
      <c r="A554" s="81"/>
      <c r="B554" s="81"/>
      <c r="D554" s="81"/>
      <c r="E554" s="81"/>
    </row>
    <row r="555">
      <c r="A555" s="81"/>
      <c r="B555" s="81"/>
      <c r="D555" s="81"/>
      <c r="E555" s="81"/>
    </row>
    <row r="556">
      <c r="A556" s="81"/>
      <c r="B556" s="81"/>
      <c r="D556" s="81"/>
      <c r="E556" s="81"/>
    </row>
    <row r="557">
      <c r="A557" s="81"/>
      <c r="B557" s="81"/>
      <c r="D557" s="81"/>
      <c r="E557" s="81"/>
    </row>
    <row r="558">
      <c r="A558" s="81"/>
      <c r="B558" s="81"/>
      <c r="D558" s="81"/>
      <c r="E558" s="81"/>
    </row>
    <row r="559">
      <c r="A559" s="81"/>
      <c r="B559" s="81"/>
      <c r="D559" s="81"/>
      <c r="E559" s="81"/>
    </row>
    <row r="560">
      <c r="A560" s="81"/>
      <c r="B560" s="81"/>
      <c r="D560" s="81"/>
      <c r="E560" s="81"/>
    </row>
    <row r="561">
      <c r="A561" s="81"/>
      <c r="B561" s="81"/>
      <c r="D561" s="81"/>
      <c r="E561" s="81"/>
    </row>
    <row r="562">
      <c r="A562" s="81"/>
      <c r="B562" s="81"/>
      <c r="D562" s="81"/>
      <c r="E562" s="81"/>
    </row>
    <row r="563">
      <c r="A563" s="81"/>
      <c r="B563" s="81"/>
      <c r="D563" s="81"/>
      <c r="E563" s="81"/>
    </row>
    <row r="564">
      <c r="A564" s="81"/>
      <c r="B564" s="81"/>
      <c r="D564" s="81"/>
      <c r="E564" s="81"/>
    </row>
    <row r="565">
      <c r="A565" s="81"/>
      <c r="B565" s="81"/>
      <c r="D565" s="81"/>
      <c r="E565" s="81"/>
    </row>
    <row r="566">
      <c r="A566" s="81"/>
      <c r="B566" s="81"/>
      <c r="D566" s="81"/>
      <c r="E566" s="81"/>
    </row>
    <row r="567">
      <c r="A567" s="81"/>
      <c r="B567" s="81"/>
      <c r="D567" s="81"/>
      <c r="E567" s="81"/>
    </row>
    <row r="568">
      <c r="A568" s="81"/>
      <c r="B568" s="81"/>
      <c r="D568" s="81"/>
      <c r="E568" s="81"/>
    </row>
    <row r="569">
      <c r="A569" s="81"/>
      <c r="B569" s="81"/>
      <c r="D569" s="81"/>
      <c r="E569" s="81"/>
    </row>
    <row r="570">
      <c r="A570" s="81"/>
      <c r="B570" s="81"/>
      <c r="D570" s="81"/>
      <c r="E570" s="81"/>
    </row>
    <row r="571">
      <c r="A571" s="81"/>
      <c r="B571" s="81"/>
      <c r="D571" s="81"/>
      <c r="E571" s="81"/>
    </row>
    <row r="572">
      <c r="A572" s="81"/>
      <c r="B572" s="81"/>
      <c r="D572" s="81"/>
      <c r="E572" s="81"/>
    </row>
    <row r="573">
      <c r="A573" s="81"/>
      <c r="B573" s="81"/>
      <c r="D573" s="81"/>
      <c r="E573" s="81"/>
    </row>
    <row r="574">
      <c r="A574" s="81"/>
      <c r="B574" s="81"/>
      <c r="D574" s="81"/>
      <c r="E574" s="81"/>
    </row>
    <row r="575">
      <c r="A575" s="81"/>
      <c r="B575" s="81"/>
      <c r="D575" s="81"/>
      <c r="E575" s="81"/>
    </row>
    <row r="576">
      <c r="A576" s="81"/>
      <c r="B576" s="81"/>
      <c r="D576" s="81"/>
      <c r="E576" s="81"/>
    </row>
    <row r="577">
      <c r="A577" s="81"/>
      <c r="B577" s="81"/>
      <c r="D577" s="81"/>
      <c r="E577" s="81"/>
    </row>
    <row r="578">
      <c r="A578" s="81"/>
      <c r="B578" s="81"/>
      <c r="D578" s="81"/>
      <c r="E578" s="81"/>
    </row>
    <row r="579">
      <c r="A579" s="81"/>
      <c r="B579" s="81"/>
      <c r="D579" s="81"/>
      <c r="E579" s="81"/>
    </row>
    <row r="580">
      <c r="A580" s="81"/>
      <c r="B580" s="81"/>
      <c r="D580" s="81"/>
      <c r="E580" s="81"/>
    </row>
    <row r="581">
      <c r="A581" s="81"/>
      <c r="B581" s="81"/>
      <c r="D581" s="81"/>
      <c r="E581" s="81"/>
    </row>
    <row r="582">
      <c r="A582" s="81"/>
      <c r="B582" s="81"/>
      <c r="D582" s="81"/>
      <c r="E582" s="81"/>
    </row>
    <row r="583">
      <c r="A583" s="81"/>
      <c r="B583" s="81"/>
      <c r="D583" s="81"/>
      <c r="E583" s="81"/>
    </row>
    <row r="584">
      <c r="A584" s="81"/>
      <c r="B584" s="81"/>
      <c r="D584" s="81"/>
      <c r="E584" s="81"/>
    </row>
    <row r="585">
      <c r="A585" s="81"/>
      <c r="B585" s="81"/>
      <c r="D585" s="81"/>
      <c r="E585" s="81"/>
    </row>
    <row r="586">
      <c r="A586" s="81"/>
      <c r="B586" s="81"/>
      <c r="D586" s="81"/>
      <c r="E586" s="81"/>
    </row>
    <row r="587">
      <c r="A587" s="81"/>
      <c r="B587" s="81"/>
      <c r="D587" s="81"/>
      <c r="E587" s="81"/>
    </row>
    <row r="588">
      <c r="A588" s="81"/>
      <c r="B588" s="81"/>
      <c r="D588" s="81"/>
      <c r="E588" s="81"/>
    </row>
    <row r="589">
      <c r="A589" s="81"/>
      <c r="B589" s="81"/>
      <c r="D589" s="81"/>
      <c r="E589" s="81"/>
    </row>
    <row r="590">
      <c r="A590" s="81"/>
      <c r="B590" s="81"/>
      <c r="D590" s="81"/>
      <c r="E590" s="81"/>
    </row>
    <row r="591">
      <c r="A591" s="81"/>
      <c r="B591" s="81"/>
      <c r="D591" s="81"/>
      <c r="E591" s="81"/>
    </row>
    <row r="592">
      <c r="A592" s="81"/>
      <c r="B592" s="81"/>
      <c r="D592" s="81"/>
      <c r="E592" s="81"/>
    </row>
    <row r="593">
      <c r="A593" s="81"/>
      <c r="B593" s="81"/>
      <c r="D593" s="81"/>
      <c r="E593" s="81"/>
    </row>
    <row r="594">
      <c r="A594" s="81"/>
      <c r="B594" s="81"/>
      <c r="D594" s="81"/>
      <c r="E594" s="81"/>
    </row>
    <row r="595">
      <c r="A595" s="81"/>
      <c r="B595" s="81"/>
      <c r="D595" s="81"/>
      <c r="E595" s="81"/>
    </row>
    <row r="596">
      <c r="A596" s="81"/>
      <c r="B596" s="81"/>
      <c r="D596" s="81"/>
      <c r="E596" s="81"/>
    </row>
    <row r="597">
      <c r="A597" s="81"/>
      <c r="B597" s="81"/>
      <c r="D597" s="81"/>
      <c r="E597" s="81"/>
    </row>
    <row r="598">
      <c r="A598" s="81"/>
      <c r="B598" s="81"/>
      <c r="D598" s="81"/>
      <c r="E598" s="81"/>
    </row>
    <row r="599">
      <c r="A599" s="81"/>
      <c r="B599" s="81"/>
      <c r="D599" s="81"/>
      <c r="E599" s="81"/>
    </row>
    <row r="600">
      <c r="A600" s="81"/>
      <c r="B600" s="81"/>
      <c r="D600" s="81"/>
      <c r="E600" s="81"/>
    </row>
    <row r="601">
      <c r="A601" s="81"/>
      <c r="B601" s="81"/>
      <c r="D601" s="81"/>
      <c r="E601" s="81"/>
    </row>
    <row r="602">
      <c r="A602" s="81"/>
      <c r="B602" s="81"/>
      <c r="D602" s="81"/>
      <c r="E602" s="81"/>
    </row>
    <row r="603">
      <c r="A603" s="81"/>
      <c r="B603" s="81"/>
      <c r="D603" s="81"/>
      <c r="E603" s="81"/>
    </row>
    <row r="604">
      <c r="A604" s="81"/>
      <c r="B604" s="81"/>
      <c r="D604" s="81"/>
      <c r="E604" s="81"/>
    </row>
    <row r="605">
      <c r="A605" s="81"/>
      <c r="B605" s="81"/>
      <c r="D605" s="81"/>
      <c r="E605" s="81"/>
    </row>
    <row r="606">
      <c r="A606" s="81"/>
      <c r="B606" s="81"/>
      <c r="D606" s="81"/>
      <c r="E606" s="81"/>
    </row>
    <row r="607">
      <c r="A607" s="81"/>
      <c r="B607" s="81"/>
      <c r="D607" s="81"/>
      <c r="E607" s="81"/>
    </row>
    <row r="608">
      <c r="A608" s="81"/>
      <c r="B608" s="81"/>
      <c r="D608" s="81"/>
      <c r="E608" s="81"/>
    </row>
    <row r="609">
      <c r="A609" s="81"/>
      <c r="B609" s="81"/>
      <c r="D609" s="81"/>
      <c r="E609" s="81"/>
    </row>
    <row r="610">
      <c r="A610" s="81"/>
      <c r="B610" s="81"/>
      <c r="D610" s="81"/>
      <c r="E610" s="81"/>
    </row>
    <row r="611">
      <c r="A611" s="81"/>
      <c r="B611" s="81"/>
      <c r="D611" s="81"/>
      <c r="E611" s="81"/>
    </row>
    <row r="612">
      <c r="A612" s="81"/>
      <c r="B612" s="81"/>
      <c r="D612" s="81"/>
      <c r="E612" s="81"/>
    </row>
    <row r="613">
      <c r="A613" s="81"/>
      <c r="B613" s="81"/>
      <c r="D613" s="81"/>
      <c r="E613" s="81"/>
    </row>
    <row r="614">
      <c r="A614" s="81"/>
      <c r="B614" s="81"/>
      <c r="D614" s="81"/>
      <c r="E614" s="81"/>
    </row>
    <row r="615">
      <c r="A615" s="81"/>
      <c r="B615" s="81"/>
      <c r="D615" s="81"/>
      <c r="E615" s="81"/>
    </row>
    <row r="616">
      <c r="A616" s="81"/>
      <c r="B616" s="81"/>
      <c r="D616" s="81"/>
      <c r="E616" s="81"/>
    </row>
    <row r="617">
      <c r="A617" s="81"/>
      <c r="B617" s="81"/>
      <c r="D617" s="81"/>
      <c r="E617" s="81"/>
    </row>
    <row r="618">
      <c r="A618" s="81"/>
      <c r="B618" s="81"/>
      <c r="D618" s="81"/>
      <c r="E618" s="81"/>
    </row>
    <row r="619">
      <c r="A619" s="81"/>
      <c r="B619" s="81"/>
      <c r="D619" s="81"/>
      <c r="E619" s="81"/>
    </row>
    <row r="620">
      <c r="A620" s="81"/>
      <c r="B620" s="81"/>
      <c r="D620" s="81"/>
      <c r="E620" s="81"/>
    </row>
    <row r="621">
      <c r="A621" s="81"/>
      <c r="B621" s="81"/>
      <c r="D621" s="81"/>
      <c r="E621" s="81"/>
    </row>
    <row r="622">
      <c r="A622" s="81"/>
      <c r="B622" s="81"/>
      <c r="D622" s="81"/>
      <c r="E622" s="81"/>
    </row>
    <row r="623">
      <c r="A623" s="81"/>
      <c r="B623" s="81"/>
      <c r="D623" s="81"/>
      <c r="E623" s="81"/>
    </row>
    <row r="624">
      <c r="A624" s="81"/>
      <c r="B624" s="81"/>
      <c r="D624" s="81"/>
      <c r="E624" s="81"/>
    </row>
    <row r="625">
      <c r="A625" s="81"/>
      <c r="B625" s="81"/>
      <c r="D625" s="81"/>
      <c r="E625" s="81"/>
    </row>
    <row r="626">
      <c r="A626" s="81"/>
      <c r="B626" s="81"/>
      <c r="D626" s="81"/>
      <c r="E626" s="81"/>
    </row>
    <row r="627">
      <c r="A627" s="81"/>
      <c r="B627" s="81"/>
      <c r="D627" s="81"/>
      <c r="E627" s="81"/>
    </row>
    <row r="628">
      <c r="A628" s="81"/>
      <c r="B628" s="81"/>
      <c r="D628" s="81"/>
      <c r="E628" s="81"/>
    </row>
    <row r="629">
      <c r="A629" s="81"/>
      <c r="B629" s="81"/>
      <c r="D629" s="81"/>
      <c r="E629" s="81"/>
    </row>
    <row r="630">
      <c r="A630" s="81"/>
      <c r="B630" s="81"/>
      <c r="D630" s="81"/>
      <c r="E630" s="81"/>
    </row>
    <row r="631">
      <c r="A631" s="81"/>
      <c r="B631" s="81"/>
      <c r="D631" s="81"/>
      <c r="E631" s="81"/>
    </row>
    <row r="632">
      <c r="A632" s="81"/>
      <c r="B632" s="81"/>
      <c r="D632" s="81"/>
      <c r="E632" s="81"/>
    </row>
    <row r="633">
      <c r="A633" s="81"/>
      <c r="B633" s="81"/>
      <c r="D633" s="81"/>
      <c r="E633" s="81"/>
    </row>
    <row r="634">
      <c r="A634" s="81"/>
      <c r="B634" s="81"/>
      <c r="D634" s="81"/>
      <c r="E634" s="81"/>
    </row>
    <row r="635">
      <c r="A635" s="81"/>
      <c r="B635" s="81"/>
      <c r="D635" s="81"/>
      <c r="E635" s="81"/>
    </row>
    <row r="636">
      <c r="A636" s="81"/>
      <c r="B636" s="81"/>
      <c r="D636" s="81"/>
      <c r="E636" s="81"/>
    </row>
    <row r="637">
      <c r="A637" s="81"/>
      <c r="B637" s="81"/>
      <c r="D637" s="81"/>
      <c r="E637" s="81"/>
    </row>
    <row r="638">
      <c r="A638" s="81"/>
      <c r="B638" s="81"/>
      <c r="D638" s="81"/>
      <c r="E638" s="81"/>
    </row>
    <row r="639">
      <c r="A639" s="81"/>
      <c r="B639" s="81"/>
      <c r="D639" s="81"/>
      <c r="E639" s="81"/>
    </row>
    <row r="640">
      <c r="A640" s="81"/>
      <c r="B640" s="81"/>
      <c r="D640" s="81"/>
      <c r="E640" s="81"/>
    </row>
    <row r="641">
      <c r="A641" s="81"/>
      <c r="B641" s="81"/>
      <c r="D641" s="81"/>
      <c r="E641" s="81"/>
    </row>
    <row r="642">
      <c r="A642" s="81"/>
      <c r="B642" s="81"/>
      <c r="D642" s="81"/>
      <c r="E642" s="81"/>
    </row>
    <row r="643">
      <c r="A643" s="81"/>
      <c r="B643" s="81"/>
      <c r="D643" s="81"/>
      <c r="E643" s="81"/>
    </row>
    <row r="644">
      <c r="A644" s="81"/>
      <c r="B644" s="81"/>
      <c r="D644" s="81"/>
      <c r="E644" s="81"/>
    </row>
    <row r="645">
      <c r="A645" s="81"/>
      <c r="B645" s="81"/>
      <c r="D645" s="81"/>
      <c r="E645" s="81"/>
    </row>
    <row r="646">
      <c r="A646" s="81"/>
      <c r="B646" s="81"/>
      <c r="D646" s="81"/>
      <c r="E646" s="81"/>
    </row>
    <row r="647">
      <c r="A647" s="81"/>
      <c r="B647" s="81"/>
      <c r="D647" s="81"/>
      <c r="E647" s="81"/>
    </row>
    <row r="648">
      <c r="A648" s="81"/>
      <c r="B648" s="81"/>
      <c r="D648" s="81"/>
      <c r="E648" s="81"/>
    </row>
    <row r="649">
      <c r="A649" s="81"/>
      <c r="B649" s="81"/>
      <c r="D649" s="81"/>
      <c r="E649" s="81"/>
    </row>
    <row r="650">
      <c r="A650" s="81"/>
      <c r="B650" s="81"/>
      <c r="D650" s="81"/>
      <c r="E650" s="81"/>
    </row>
    <row r="651">
      <c r="A651" s="81"/>
      <c r="B651" s="81"/>
      <c r="D651" s="81"/>
      <c r="E651" s="81"/>
    </row>
    <row r="652">
      <c r="A652" s="81"/>
      <c r="B652" s="81"/>
      <c r="D652" s="81"/>
      <c r="E652" s="81"/>
    </row>
    <row r="653">
      <c r="A653" s="81"/>
      <c r="B653" s="81"/>
      <c r="D653" s="81"/>
      <c r="E653" s="81"/>
    </row>
    <row r="654">
      <c r="A654" s="81"/>
      <c r="B654" s="81"/>
      <c r="D654" s="81"/>
      <c r="E654" s="81"/>
    </row>
    <row r="655">
      <c r="A655" s="81"/>
      <c r="B655" s="81"/>
      <c r="D655" s="81"/>
      <c r="E655" s="81"/>
    </row>
    <row r="656">
      <c r="A656" s="81"/>
      <c r="B656" s="81"/>
      <c r="D656" s="81"/>
      <c r="E656" s="81"/>
    </row>
    <row r="657">
      <c r="A657" s="81"/>
      <c r="B657" s="81"/>
      <c r="D657" s="81"/>
      <c r="E657" s="81"/>
    </row>
    <row r="658">
      <c r="A658" s="81"/>
      <c r="B658" s="81"/>
      <c r="D658" s="81"/>
      <c r="E658" s="81"/>
    </row>
    <row r="659">
      <c r="A659" s="81"/>
      <c r="B659" s="81"/>
      <c r="D659" s="81"/>
      <c r="E659" s="81"/>
    </row>
    <row r="660">
      <c r="A660" s="81"/>
      <c r="B660" s="81"/>
      <c r="D660" s="81"/>
      <c r="E660" s="81"/>
    </row>
    <row r="661">
      <c r="A661" s="81"/>
      <c r="B661" s="81"/>
      <c r="D661" s="81"/>
      <c r="E661" s="81"/>
    </row>
    <row r="662">
      <c r="A662" s="81"/>
      <c r="B662" s="81"/>
      <c r="D662" s="81"/>
      <c r="E662" s="81"/>
    </row>
    <row r="663">
      <c r="A663" s="81"/>
      <c r="B663" s="81"/>
      <c r="D663" s="81"/>
      <c r="E663" s="81"/>
    </row>
    <row r="664">
      <c r="A664" s="81"/>
      <c r="B664" s="81"/>
      <c r="D664" s="81"/>
      <c r="E664" s="81"/>
    </row>
    <row r="665">
      <c r="A665" s="81"/>
      <c r="B665" s="81"/>
      <c r="D665" s="81"/>
      <c r="E665" s="81"/>
    </row>
    <row r="666">
      <c r="A666" s="81"/>
      <c r="B666" s="81"/>
      <c r="D666" s="81"/>
      <c r="E666" s="81"/>
    </row>
    <row r="667">
      <c r="A667" s="81"/>
      <c r="B667" s="81"/>
      <c r="D667" s="81"/>
      <c r="E667" s="81"/>
    </row>
    <row r="668">
      <c r="A668" s="81"/>
      <c r="B668" s="81"/>
      <c r="D668" s="81"/>
      <c r="E668" s="81"/>
    </row>
    <row r="669">
      <c r="A669" s="81"/>
      <c r="B669" s="81"/>
      <c r="D669" s="81"/>
      <c r="E669" s="81"/>
    </row>
    <row r="670">
      <c r="A670" s="81"/>
      <c r="B670" s="81"/>
      <c r="D670" s="81"/>
      <c r="E670" s="81"/>
    </row>
    <row r="671">
      <c r="A671" s="81"/>
      <c r="B671" s="81"/>
      <c r="D671" s="81"/>
      <c r="E671" s="81"/>
    </row>
    <row r="672">
      <c r="A672" s="81"/>
      <c r="B672" s="81"/>
      <c r="D672" s="81"/>
      <c r="E672" s="81"/>
    </row>
    <row r="673">
      <c r="A673" s="81"/>
      <c r="B673" s="81"/>
      <c r="D673" s="81"/>
      <c r="E673" s="81"/>
    </row>
    <row r="674">
      <c r="A674" s="81"/>
      <c r="B674" s="81"/>
      <c r="D674" s="81"/>
      <c r="E674" s="81"/>
    </row>
    <row r="675">
      <c r="A675" s="81"/>
      <c r="B675" s="81"/>
      <c r="D675" s="81"/>
      <c r="E675" s="81"/>
    </row>
    <row r="676">
      <c r="A676" s="81"/>
      <c r="B676" s="81"/>
      <c r="D676" s="81"/>
      <c r="E676" s="81"/>
    </row>
    <row r="677">
      <c r="A677" s="81"/>
      <c r="B677" s="81"/>
      <c r="D677" s="81"/>
      <c r="E677" s="81"/>
    </row>
    <row r="678">
      <c r="A678" s="81"/>
      <c r="B678" s="81"/>
      <c r="D678" s="81"/>
      <c r="E678" s="81"/>
    </row>
    <row r="679">
      <c r="A679" s="81"/>
      <c r="B679" s="81"/>
      <c r="D679" s="81"/>
      <c r="E679" s="81"/>
    </row>
    <row r="680">
      <c r="A680" s="81"/>
      <c r="B680" s="81"/>
      <c r="D680" s="81"/>
      <c r="E680" s="81"/>
    </row>
    <row r="681">
      <c r="A681" s="81"/>
      <c r="B681" s="81"/>
      <c r="D681" s="81"/>
      <c r="E681" s="81"/>
    </row>
    <row r="682">
      <c r="A682" s="81"/>
      <c r="B682" s="81"/>
      <c r="D682" s="81"/>
      <c r="E682" s="81"/>
    </row>
    <row r="683">
      <c r="A683" s="81"/>
      <c r="B683" s="81"/>
      <c r="D683" s="81"/>
      <c r="E683" s="81"/>
    </row>
    <row r="684">
      <c r="A684" s="81"/>
      <c r="B684" s="81"/>
      <c r="D684" s="81"/>
      <c r="E684" s="81"/>
    </row>
    <row r="685">
      <c r="A685" s="81"/>
      <c r="B685" s="81"/>
      <c r="D685" s="81"/>
      <c r="E685" s="81"/>
    </row>
    <row r="686">
      <c r="A686" s="81"/>
      <c r="B686" s="81"/>
      <c r="D686" s="81"/>
      <c r="E686" s="81"/>
    </row>
    <row r="687">
      <c r="A687" s="81"/>
      <c r="B687" s="81"/>
      <c r="D687" s="81"/>
      <c r="E687" s="81"/>
    </row>
    <row r="688">
      <c r="A688" s="81"/>
      <c r="B688" s="81"/>
      <c r="D688" s="81"/>
      <c r="E688" s="81"/>
    </row>
    <row r="689">
      <c r="A689" s="81"/>
      <c r="B689" s="81"/>
      <c r="D689" s="81"/>
      <c r="E689" s="81"/>
    </row>
    <row r="690">
      <c r="A690" s="81"/>
      <c r="B690" s="81"/>
      <c r="D690" s="81"/>
      <c r="E690" s="81"/>
    </row>
    <row r="691">
      <c r="A691" s="81"/>
      <c r="B691" s="81"/>
      <c r="D691" s="81"/>
      <c r="E691" s="81"/>
    </row>
    <row r="692">
      <c r="A692" s="81"/>
      <c r="B692" s="81"/>
      <c r="D692" s="81"/>
      <c r="E692" s="81"/>
    </row>
    <row r="693">
      <c r="A693" s="81"/>
      <c r="B693" s="81"/>
      <c r="D693" s="81"/>
      <c r="E693" s="81"/>
    </row>
    <row r="694">
      <c r="A694" s="81"/>
      <c r="B694" s="81"/>
      <c r="D694" s="81"/>
      <c r="E694" s="81"/>
    </row>
    <row r="695">
      <c r="A695" s="81"/>
      <c r="B695" s="81"/>
      <c r="D695" s="81"/>
      <c r="E695" s="81"/>
    </row>
    <row r="696">
      <c r="A696" s="81"/>
      <c r="B696" s="81"/>
      <c r="D696" s="81"/>
      <c r="E696" s="81"/>
    </row>
    <row r="697">
      <c r="A697" s="81"/>
      <c r="B697" s="81"/>
      <c r="D697" s="81"/>
      <c r="E697" s="81"/>
    </row>
    <row r="698">
      <c r="A698" s="81"/>
      <c r="B698" s="81"/>
      <c r="D698" s="81"/>
      <c r="E698" s="81"/>
    </row>
    <row r="699">
      <c r="A699" s="81"/>
      <c r="B699" s="81"/>
      <c r="D699" s="81"/>
      <c r="E699" s="81"/>
    </row>
    <row r="700">
      <c r="A700" s="81"/>
      <c r="B700" s="81"/>
      <c r="D700" s="81"/>
      <c r="E700" s="81"/>
    </row>
    <row r="701">
      <c r="A701" s="81"/>
      <c r="B701" s="81"/>
      <c r="D701" s="81"/>
      <c r="E701" s="81"/>
    </row>
    <row r="702">
      <c r="A702" s="81"/>
      <c r="B702" s="81"/>
      <c r="D702" s="81"/>
      <c r="E702" s="81"/>
    </row>
    <row r="703">
      <c r="A703" s="81"/>
      <c r="B703" s="81"/>
      <c r="D703" s="81"/>
      <c r="E703" s="81"/>
    </row>
    <row r="704">
      <c r="A704" s="81"/>
      <c r="B704" s="81"/>
      <c r="D704" s="81"/>
      <c r="E704" s="81"/>
    </row>
    <row r="705">
      <c r="A705" s="81"/>
      <c r="B705" s="81"/>
      <c r="D705" s="81"/>
      <c r="E705" s="81"/>
    </row>
    <row r="706">
      <c r="A706" s="81"/>
      <c r="B706" s="81"/>
      <c r="D706" s="81"/>
      <c r="E706" s="81"/>
    </row>
    <row r="707">
      <c r="A707" s="81"/>
      <c r="B707" s="81"/>
      <c r="D707" s="81"/>
      <c r="E707" s="81"/>
    </row>
    <row r="708">
      <c r="A708" s="81"/>
      <c r="B708" s="81"/>
      <c r="D708" s="81"/>
      <c r="E708" s="81"/>
    </row>
    <row r="709">
      <c r="A709" s="81"/>
      <c r="B709" s="81"/>
      <c r="D709" s="81"/>
      <c r="E709" s="81"/>
    </row>
    <row r="710">
      <c r="A710" s="81"/>
      <c r="B710" s="81"/>
      <c r="D710" s="81"/>
      <c r="E710" s="81"/>
    </row>
    <row r="711">
      <c r="A711" s="81"/>
      <c r="B711" s="81"/>
      <c r="D711" s="81"/>
      <c r="E711" s="81"/>
    </row>
    <row r="712">
      <c r="A712" s="81"/>
      <c r="B712" s="81"/>
      <c r="D712" s="81"/>
      <c r="E712" s="81"/>
    </row>
    <row r="713">
      <c r="A713" s="81"/>
      <c r="B713" s="81"/>
      <c r="D713" s="81"/>
      <c r="E713" s="81"/>
    </row>
    <row r="714">
      <c r="A714" s="81"/>
      <c r="B714" s="81"/>
      <c r="D714" s="81"/>
      <c r="E714" s="81"/>
    </row>
    <row r="715">
      <c r="A715" s="81"/>
      <c r="B715" s="81"/>
      <c r="D715" s="81"/>
      <c r="E715" s="81"/>
    </row>
    <row r="716">
      <c r="A716" s="81"/>
      <c r="B716" s="81"/>
      <c r="D716" s="81"/>
      <c r="E716" s="81"/>
    </row>
    <row r="717">
      <c r="A717" s="81"/>
      <c r="B717" s="81"/>
      <c r="D717" s="81"/>
      <c r="E717" s="81"/>
    </row>
    <row r="718">
      <c r="A718" s="81"/>
      <c r="B718" s="81"/>
      <c r="D718" s="81"/>
      <c r="E718" s="81"/>
    </row>
    <row r="719">
      <c r="A719" s="81"/>
      <c r="B719" s="81"/>
      <c r="D719" s="81"/>
      <c r="E719" s="81"/>
    </row>
    <row r="720">
      <c r="A720" s="81"/>
      <c r="B720" s="81"/>
      <c r="D720" s="81"/>
      <c r="E720" s="81"/>
    </row>
    <row r="721">
      <c r="A721" s="81"/>
      <c r="B721" s="81"/>
      <c r="D721" s="81"/>
      <c r="E721" s="81"/>
    </row>
    <row r="722">
      <c r="A722" s="81"/>
      <c r="B722" s="81"/>
      <c r="D722" s="81"/>
      <c r="E722" s="81"/>
    </row>
    <row r="723">
      <c r="A723" s="81"/>
      <c r="B723" s="81"/>
      <c r="D723" s="81"/>
      <c r="E723" s="81"/>
    </row>
    <row r="724">
      <c r="A724" s="81"/>
      <c r="B724" s="81"/>
      <c r="D724" s="81"/>
      <c r="E724" s="81"/>
    </row>
    <row r="725">
      <c r="A725" s="81"/>
      <c r="B725" s="81"/>
      <c r="D725" s="81"/>
      <c r="E725" s="81"/>
    </row>
    <row r="726">
      <c r="A726" s="81"/>
      <c r="B726" s="81"/>
      <c r="D726" s="81"/>
      <c r="E726" s="81"/>
    </row>
    <row r="727">
      <c r="A727" s="81"/>
      <c r="B727" s="81"/>
      <c r="D727" s="81"/>
      <c r="E727" s="81"/>
    </row>
    <row r="728">
      <c r="A728" s="81"/>
      <c r="B728" s="81"/>
      <c r="D728" s="81"/>
      <c r="E728" s="81"/>
    </row>
    <row r="729">
      <c r="A729" s="81"/>
      <c r="B729" s="81"/>
      <c r="D729" s="81"/>
      <c r="E729" s="81"/>
    </row>
    <row r="730">
      <c r="A730" s="81"/>
      <c r="B730" s="81"/>
      <c r="D730" s="81"/>
      <c r="E730" s="81"/>
    </row>
    <row r="731">
      <c r="A731" s="81"/>
      <c r="B731" s="81"/>
      <c r="D731" s="81"/>
      <c r="E731" s="81"/>
    </row>
    <row r="732">
      <c r="A732" s="81"/>
      <c r="B732" s="81"/>
      <c r="D732" s="81"/>
      <c r="E732" s="81"/>
    </row>
    <row r="733">
      <c r="A733" s="81"/>
      <c r="B733" s="81"/>
      <c r="D733" s="81"/>
      <c r="E733" s="81"/>
    </row>
    <row r="734">
      <c r="A734" s="81"/>
      <c r="B734" s="81"/>
      <c r="D734" s="81"/>
      <c r="E734" s="81"/>
    </row>
    <row r="735">
      <c r="A735" s="81"/>
      <c r="B735" s="81"/>
      <c r="D735" s="81"/>
      <c r="E735" s="81"/>
    </row>
    <row r="736">
      <c r="A736" s="81"/>
      <c r="B736" s="81"/>
      <c r="D736" s="81"/>
      <c r="E736" s="81"/>
    </row>
    <row r="737">
      <c r="A737" s="81"/>
      <c r="B737" s="81"/>
      <c r="D737" s="81"/>
      <c r="E737" s="81"/>
    </row>
    <row r="738">
      <c r="A738" s="81"/>
      <c r="B738" s="81"/>
      <c r="D738" s="81"/>
      <c r="E738" s="81"/>
    </row>
    <row r="739">
      <c r="A739" s="81"/>
      <c r="B739" s="81"/>
      <c r="D739" s="81"/>
      <c r="E739" s="81"/>
    </row>
    <row r="740">
      <c r="A740" s="81"/>
      <c r="B740" s="81"/>
      <c r="D740" s="81"/>
      <c r="E740" s="81"/>
    </row>
    <row r="741">
      <c r="A741" s="81"/>
      <c r="B741" s="81"/>
      <c r="D741" s="81"/>
      <c r="E741" s="81"/>
    </row>
    <row r="742">
      <c r="A742" s="81"/>
      <c r="B742" s="81"/>
      <c r="D742" s="81"/>
      <c r="E742" s="81"/>
    </row>
    <row r="743">
      <c r="A743" s="81"/>
      <c r="B743" s="81"/>
      <c r="D743" s="81"/>
      <c r="E743" s="81"/>
    </row>
    <row r="744">
      <c r="A744" s="81"/>
      <c r="B744" s="81"/>
      <c r="D744" s="81"/>
      <c r="E744" s="81"/>
    </row>
    <row r="745">
      <c r="A745" s="81"/>
      <c r="B745" s="81"/>
      <c r="D745" s="81"/>
      <c r="E745" s="81"/>
    </row>
    <row r="746">
      <c r="A746" s="81"/>
      <c r="B746" s="81"/>
      <c r="D746" s="81"/>
      <c r="E746" s="81"/>
    </row>
    <row r="747">
      <c r="A747" s="81"/>
      <c r="B747" s="81"/>
      <c r="D747" s="81"/>
      <c r="E747" s="81"/>
    </row>
    <row r="748">
      <c r="A748" s="81"/>
      <c r="B748" s="81"/>
      <c r="D748" s="81"/>
      <c r="E748" s="81"/>
    </row>
    <row r="749">
      <c r="A749" s="81"/>
      <c r="B749" s="81"/>
      <c r="D749" s="81"/>
      <c r="E749" s="81"/>
    </row>
    <row r="750">
      <c r="A750" s="81"/>
      <c r="B750" s="81"/>
      <c r="D750" s="81"/>
      <c r="E750" s="81"/>
    </row>
    <row r="751">
      <c r="A751" s="81"/>
      <c r="B751" s="81"/>
      <c r="D751" s="81"/>
      <c r="E751" s="81"/>
    </row>
    <row r="752">
      <c r="A752" s="81"/>
      <c r="B752" s="81"/>
      <c r="D752" s="81"/>
      <c r="E752" s="81"/>
    </row>
    <row r="753">
      <c r="A753" s="81"/>
      <c r="B753" s="81"/>
      <c r="D753" s="81"/>
      <c r="E753" s="81"/>
    </row>
    <row r="754">
      <c r="A754" s="81"/>
      <c r="B754" s="81"/>
      <c r="D754" s="81"/>
      <c r="E754" s="81"/>
    </row>
    <row r="755">
      <c r="A755" s="81"/>
      <c r="B755" s="81"/>
      <c r="D755" s="81"/>
      <c r="E755" s="81"/>
    </row>
    <row r="756">
      <c r="A756" s="81"/>
      <c r="B756" s="81"/>
      <c r="D756" s="81"/>
      <c r="E756" s="81"/>
    </row>
    <row r="757">
      <c r="A757" s="81"/>
      <c r="B757" s="81"/>
      <c r="D757" s="81"/>
      <c r="E757" s="81"/>
    </row>
    <row r="758">
      <c r="A758" s="81"/>
      <c r="B758" s="81"/>
      <c r="D758" s="81"/>
      <c r="E758" s="81"/>
    </row>
    <row r="759">
      <c r="A759" s="81"/>
      <c r="B759" s="81"/>
      <c r="D759" s="81"/>
      <c r="E759" s="81"/>
    </row>
    <row r="760">
      <c r="A760" s="81"/>
      <c r="B760" s="81"/>
      <c r="D760" s="81"/>
      <c r="E760" s="81"/>
    </row>
    <row r="761">
      <c r="A761" s="81"/>
      <c r="B761" s="81"/>
      <c r="D761" s="81"/>
      <c r="E761" s="81"/>
    </row>
    <row r="762">
      <c r="A762" s="81"/>
      <c r="B762" s="81"/>
      <c r="D762" s="81"/>
      <c r="E762" s="81"/>
    </row>
    <row r="763">
      <c r="A763" s="81"/>
      <c r="B763" s="81"/>
      <c r="D763" s="81"/>
      <c r="E763" s="81"/>
    </row>
    <row r="764">
      <c r="A764" s="81"/>
      <c r="B764" s="81"/>
      <c r="D764" s="81"/>
      <c r="E764" s="81"/>
    </row>
    <row r="765">
      <c r="A765" s="81"/>
      <c r="B765" s="81"/>
      <c r="D765" s="81"/>
      <c r="E765" s="81"/>
    </row>
    <row r="766">
      <c r="A766" s="81"/>
      <c r="B766" s="81"/>
      <c r="D766" s="81"/>
      <c r="E766" s="81"/>
    </row>
    <row r="767">
      <c r="A767" s="81"/>
      <c r="B767" s="81"/>
      <c r="D767" s="81"/>
      <c r="E767" s="81"/>
    </row>
    <row r="768">
      <c r="A768" s="81"/>
      <c r="B768" s="81"/>
      <c r="D768" s="81"/>
      <c r="E768" s="81"/>
    </row>
    <row r="769">
      <c r="A769" s="81"/>
      <c r="B769" s="81"/>
      <c r="D769" s="81"/>
      <c r="E769" s="81"/>
    </row>
    <row r="770">
      <c r="A770" s="81"/>
      <c r="B770" s="81"/>
      <c r="D770" s="81"/>
      <c r="E770" s="81"/>
    </row>
    <row r="771">
      <c r="A771" s="81"/>
      <c r="B771" s="81"/>
      <c r="D771" s="81"/>
      <c r="E771" s="81"/>
    </row>
    <row r="772">
      <c r="A772" s="81"/>
      <c r="B772" s="81"/>
      <c r="D772" s="81"/>
      <c r="E772" s="81"/>
    </row>
    <row r="773">
      <c r="A773" s="81"/>
      <c r="B773" s="81"/>
      <c r="D773" s="81"/>
      <c r="E773" s="81"/>
    </row>
    <row r="774">
      <c r="A774" s="81"/>
      <c r="B774" s="81"/>
      <c r="D774" s="81"/>
      <c r="E774" s="81"/>
    </row>
    <row r="775">
      <c r="A775" s="81"/>
      <c r="B775" s="81"/>
      <c r="D775" s="81"/>
      <c r="E775" s="81"/>
    </row>
    <row r="776">
      <c r="A776" s="81"/>
      <c r="B776" s="81"/>
      <c r="D776" s="81"/>
      <c r="E776" s="81"/>
    </row>
    <row r="777">
      <c r="A777" s="81"/>
      <c r="B777" s="81"/>
      <c r="D777" s="81"/>
      <c r="E777" s="81"/>
    </row>
    <row r="778">
      <c r="A778" s="81"/>
      <c r="B778" s="81"/>
      <c r="D778" s="81"/>
      <c r="E778" s="81"/>
    </row>
    <row r="779">
      <c r="A779" s="81"/>
      <c r="B779" s="81"/>
      <c r="D779" s="81"/>
      <c r="E779" s="81"/>
    </row>
    <row r="780">
      <c r="A780" s="81"/>
      <c r="B780" s="81"/>
      <c r="D780" s="81"/>
      <c r="E780" s="81"/>
    </row>
    <row r="781">
      <c r="A781" s="81"/>
      <c r="B781" s="81"/>
      <c r="D781" s="81"/>
      <c r="E781" s="81"/>
    </row>
    <row r="782">
      <c r="A782" s="81"/>
      <c r="B782" s="81"/>
      <c r="D782" s="81"/>
      <c r="E782" s="81"/>
    </row>
    <row r="783">
      <c r="A783" s="81"/>
      <c r="B783" s="81"/>
      <c r="D783" s="81"/>
      <c r="E783" s="81"/>
    </row>
    <row r="784">
      <c r="A784" s="81"/>
      <c r="B784" s="81"/>
      <c r="D784" s="81"/>
      <c r="E784" s="81"/>
    </row>
    <row r="785">
      <c r="A785" s="81"/>
      <c r="B785" s="81"/>
      <c r="D785" s="81"/>
      <c r="E785" s="81"/>
    </row>
    <row r="786">
      <c r="A786" s="81"/>
      <c r="B786" s="81"/>
      <c r="D786" s="81"/>
      <c r="E786" s="81"/>
    </row>
    <row r="787">
      <c r="A787" s="81"/>
      <c r="B787" s="81"/>
      <c r="D787" s="81"/>
      <c r="E787" s="81"/>
    </row>
    <row r="788">
      <c r="A788" s="81"/>
      <c r="B788" s="81"/>
      <c r="D788" s="81"/>
      <c r="E788" s="81"/>
    </row>
    <row r="789">
      <c r="A789" s="81"/>
      <c r="B789" s="81"/>
      <c r="D789" s="81"/>
      <c r="E789" s="81"/>
    </row>
    <row r="790">
      <c r="A790" s="81"/>
      <c r="B790" s="81"/>
      <c r="D790" s="81"/>
      <c r="E790" s="81"/>
    </row>
    <row r="791">
      <c r="A791" s="81"/>
      <c r="B791" s="81"/>
      <c r="D791" s="81"/>
      <c r="E791" s="81"/>
    </row>
    <row r="792">
      <c r="A792" s="81"/>
      <c r="B792" s="81"/>
      <c r="D792" s="81"/>
      <c r="E792" s="81"/>
    </row>
    <row r="793">
      <c r="A793" s="81"/>
      <c r="B793" s="81"/>
      <c r="D793" s="81"/>
      <c r="E793" s="81"/>
    </row>
    <row r="794">
      <c r="A794" s="81"/>
      <c r="B794" s="81"/>
      <c r="D794" s="81"/>
      <c r="E794" s="81"/>
    </row>
    <row r="795">
      <c r="A795" s="81"/>
      <c r="B795" s="81"/>
      <c r="D795" s="81"/>
      <c r="E795" s="81"/>
    </row>
    <row r="796">
      <c r="A796" s="81"/>
      <c r="B796" s="81"/>
      <c r="D796" s="81"/>
      <c r="E796" s="81"/>
    </row>
    <row r="797">
      <c r="A797" s="81"/>
      <c r="B797" s="81"/>
      <c r="D797" s="81"/>
      <c r="E797" s="81"/>
    </row>
    <row r="798">
      <c r="A798" s="81"/>
      <c r="B798" s="81"/>
      <c r="D798" s="81"/>
      <c r="E798" s="81"/>
    </row>
    <row r="799">
      <c r="A799" s="81"/>
      <c r="B799" s="81"/>
      <c r="D799" s="81"/>
      <c r="E799" s="81"/>
    </row>
    <row r="800">
      <c r="A800" s="81"/>
      <c r="B800" s="81"/>
      <c r="D800" s="81"/>
      <c r="E800" s="81"/>
    </row>
    <row r="801">
      <c r="A801" s="81"/>
      <c r="B801" s="81"/>
      <c r="D801" s="81"/>
      <c r="E801" s="81"/>
    </row>
    <row r="802">
      <c r="A802" s="81"/>
      <c r="B802" s="81"/>
      <c r="D802" s="81"/>
      <c r="E802" s="81"/>
    </row>
    <row r="803">
      <c r="A803" s="81"/>
      <c r="B803" s="81"/>
      <c r="D803" s="81"/>
      <c r="E803" s="81"/>
    </row>
    <row r="804">
      <c r="A804" s="81"/>
      <c r="B804" s="81"/>
      <c r="D804" s="81"/>
      <c r="E804" s="81"/>
    </row>
    <row r="805">
      <c r="A805" s="81"/>
      <c r="B805" s="81"/>
      <c r="D805" s="81"/>
      <c r="E805" s="81"/>
    </row>
    <row r="806">
      <c r="A806" s="81"/>
      <c r="B806" s="81"/>
      <c r="D806" s="81"/>
      <c r="E806" s="81"/>
    </row>
    <row r="807">
      <c r="A807" s="81"/>
      <c r="B807" s="81"/>
      <c r="D807" s="81"/>
      <c r="E807" s="81"/>
    </row>
    <row r="808">
      <c r="A808" s="81"/>
      <c r="B808" s="81"/>
      <c r="D808" s="81"/>
      <c r="E808" s="81"/>
    </row>
    <row r="809">
      <c r="A809" s="81"/>
      <c r="B809" s="81"/>
      <c r="D809" s="81"/>
      <c r="E809" s="81"/>
    </row>
    <row r="810">
      <c r="A810" s="81"/>
      <c r="B810" s="81"/>
      <c r="D810" s="81"/>
      <c r="E810" s="81"/>
    </row>
    <row r="811">
      <c r="A811" s="81"/>
      <c r="B811" s="81"/>
      <c r="D811" s="81"/>
      <c r="E811" s="81"/>
    </row>
    <row r="812">
      <c r="A812" s="81"/>
      <c r="B812" s="81"/>
      <c r="D812" s="81"/>
      <c r="E812" s="81"/>
    </row>
    <row r="813">
      <c r="A813" s="81"/>
      <c r="B813" s="81"/>
      <c r="D813" s="81"/>
      <c r="E813" s="81"/>
    </row>
    <row r="814">
      <c r="A814" s="81"/>
      <c r="B814" s="81"/>
      <c r="D814" s="81"/>
      <c r="E814" s="81"/>
    </row>
    <row r="815">
      <c r="A815" s="81"/>
      <c r="B815" s="81"/>
      <c r="D815" s="81"/>
      <c r="E815" s="81"/>
    </row>
    <row r="816">
      <c r="A816" s="81"/>
      <c r="B816" s="81"/>
      <c r="D816" s="81"/>
      <c r="E816" s="81"/>
    </row>
    <row r="817">
      <c r="A817" s="81"/>
      <c r="B817" s="81"/>
      <c r="D817" s="81"/>
      <c r="E817" s="81"/>
    </row>
    <row r="818">
      <c r="A818" s="81"/>
      <c r="B818" s="81"/>
      <c r="D818" s="81"/>
      <c r="E818" s="81"/>
    </row>
    <row r="819">
      <c r="A819" s="81"/>
      <c r="B819" s="81"/>
      <c r="D819" s="81"/>
      <c r="E819" s="81"/>
    </row>
    <row r="820">
      <c r="A820" s="81"/>
      <c r="B820" s="81"/>
      <c r="D820" s="81"/>
      <c r="E820" s="81"/>
    </row>
    <row r="821">
      <c r="A821" s="81"/>
      <c r="B821" s="81"/>
      <c r="D821" s="81"/>
      <c r="E821" s="81"/>
    </row>
    <row r="822">
      <c r="A822" s="81"/>
      <c r="B822" s="81"/>
      <c r="D822" s="81"/>
      <c r="E822" s="81"/>
    </row>
    <row r="823">
      <c r="A823" s="81"/>
      <c r="B823" s="81"/>
      <c r="D823" s="81"/>
      <c r="E823" s="81"/>
    </row>
    <row r="824">
      <c r="A824" s="81"/>
      <c r="B824" s="81"/>
      <c r="D824" s="81"/>
      <c r="E824" s="81"/>
    </row>
    <row r="825">
      <c r="A825" s="81"/>
      <c r="B825" s="81"/>
      <c r="D825" s="81"/>
      <c r="E825" s="81"/>
    </row>
    <row r="826">
      <c r="A826" s="81"/>
      <c r="B826" s="81"/>
      <c r="D826" s="81"/>
      <c r="E826" s="81"/>
    </row>
    <row r="827">
      <c r="A827" s="81"/>
      <c r="B827" s="81"/>
      <c r="D827" s="81"/>
      <c r="E827" s="81"/>
    </row>
    <row r="828">
      <c r="A828" s="81"/>
      <c r="B828" s="81"/>
      <c r="D828" s="81"/>
      <c r="E828" s="81"/>
    </row>
    <row r="829">
      <c r="A829" s="81"/>
      <c r="B829" s="81"/>
      <c r="D829" s="81"/>
      <c r="E829" s="81"/>
    </row>
    <row r="830">
      <c r="A830" s="81"/>
      <c r="B830" s="81"/>
      <c r="D830" s="81"/>
      <c r="E830" s="81"/>
    </row>
    <row r="831">
      <c r="A831" s="81"/>
      <c r="B831" s="81"/>
      <c r="D831" s="81"/>
      <c r="E831" s="81"/>
    </row>
    <row r="832">
      <c r="A832" s="81"/>
      <c r="B832" s="81"/>
      <c r="D832" s="81"/>
      <c r="E832" s="81"/>
    </row>
    <row r="833">
      <c r="A833" s="81"/>
      <c r="B833" s="81"/>
      <c r="D833" s="81"/>
      <c r="E833" s="81"/>
    </row>
    <row r="834">
      <c r="A834" s="81"/>
      <c r="B834" s="81"/>
      <c r="D834" s="81"/>
      <c r="E834" s="81"/>
    </row>
    <row r="835">
      <c r="A835" s="81"/>
      <c r="B835" s="81"/>
      <c r="D835" s="81"/>
      <c r="E835" s="81"/>
    </row>
    <row r="836">
      <c r="A836" s="81"/>
      <c r="B836" s="81"/>
      <c r="D836" s="81"/>
      <c r="E836" s="81"/>
    </row>
    <row r="837">
      <c r="A837" s="81"/>
      <c r="B837" s="81"/>
      <c r="D837" s="81"/>
      <c r="E837" s="81"/>
    </row>
    <row r="838">
      <c r="A838" s="81"/>
      <c r="B838" s="81"/>
      <c r="D838" s="81"/>
      <c r="E838" s="81"/>
    </row>
    <row r="839">
      <c r="A839" s="81"/>
      <c r="B839" s="81"/>
      <c r="D839" s="81"/>
      <c r="E839" s="81"/>
    </row>
    <row r="840">
      <c r="A840" s="81"/>
      <c r="B840" s="81"/>
      <c r="D840" s="81"/>
      <c r="E840" s="81"/>
    </row>
    <row r="841">
      <c r="A841" s="81"/>
      <c r="B841" s="81"/>
      <c r="D841" s="81"/>
      <c r="E841" s="81"/>
    </row>
    <row r="842">
      <c r="A842" s="81"/>
      <c r="B842" s="81"/>
      <c r="D842" s="81"/>
      <c r="E842" s="81"/>
    </row>
    <row r="843">
      <c r="A843" s="81"/>
      <c r="B843" s="81"/>
      <c r="D843" s="81"/>
      <c r="E843" s="81"/>
    </row>
    <row r="844">
      <c r="A844" s="81"/>
      <c r="B844" s="81"/>
      <c r="D844" s="81"/>
      <c r="E844" s="81"/>
    </row>
    <row r="845">
      <c r="A845" s="81"/>
      <c r="B845" s="81"/>
      <c r="D845" s="81"/>
      <c r="E845" s="81"/>
    </row>
    <row r="846">
      <c r="A846" s="81"/>
      <c r="B846" s="81"/>
      <c r="D846" s="81"/>
      <c r="E846" s="81"/>
    </row>
    <row r="847">
      <c r="A847" s="81"/>
      <c r="B847" s="81"/>
      <c r="D847" s="81"/>
      <c r="E847" s="81"/>
    </row>
    <row r="848">
      <c r="A848" s="81"/>
      <c r="B848" s="81"/>
      <c r="D848" s="81"/>
      <c r="E848" s="81"/>
    </row>
    <row r="849">
      <c r="A849" s="81"/>
      <c r="B849" s="81"/>
      <c r="D849" s="81"/>
      <c r="E849" s="81"/>
    </row>
    <row r="850">
      <c r="A850" s="81"/>
      <c r="B850" s="81"/>
      <c r="D850" s="81"/>
      <c r="E850" s="81"/>
    </row>
    <row r="851">
      <c r="A851" s="81"/>
      <c r="B851" s="81"/>
      <c r="D851" s="81"/>
      <c r="E851" s="81"/>
    </row>
    <row r="852">
      <c r="A852" s="81"/>
      <c r="B852" s="81"/>
      <c r="D852" s="81"/>
      <c r="E852" s="81"/>
    </row>
    <row r="853">
      <c r="A853" s="81"/>
      <c r="B853" s="81"/>
      <c r="D853" s="81"/>
      <c r="E853" s="81"/>
    </row>
    <row r="854">
      <c r="A854" s="81"/>
      <c r="B854" s="81"/>
      <c r="D854" s="81"/>
      <c r="E854" s="81"/>
    </row>
    <row r="855">
      <c r="A855" s="81"/>
      <c r="B855" s="81"/>
      <c r="D855" s="81"/>
      <c r="E855" s="81"/>
    </row>
    <row r="856">
      <c r="A856" s="81"/>
      <c r="B856" s="81"/>
      <c r="D856" s="81"/>
      <c r="E856" s="81"/>
    </row>
    <row r="857">
      <c r="A857" s="81"/>
      <c r="B857" s="81"/>
      <c r="D857" s="81"/>
      <c r="E857" s="81"/>
    </row>
    <row r="858">
      <c r="A858" s="81"/>
      <c r="B858" s="81"/>
      <c r="D858" s="81"/>
      <c r="E858" s="81"/>
    </row>
    <row r="859">
      <c r="A859" s="81"/>
      <c r="B859" s="81"/>
      <c r="D859" s="81"/>
      <c r="E859" s="81"/>
    </row>
    <row r="860">
      <c r="A860" s="81"/>
      <c r="B860" s="81"/>
      <c r="D860" s="81"/>
      <c r="E860" s="81"/>
    </row>
    <row r="861">
      <c r="A861" s="81"/>
      <c r="B861" s="81"/>
      <c r="D861" s="81"/>
      <c r="E861" s="81"/>
    </row>
    <row r="862">
      <c r="A862" s="81"/>
      <c r="B862" s="81"/>
      <c r="D862" s="81"/>
      <c r="E862" s="81"/>
    </row>
    <row r="863">
      <c r="A863" s="81"/>
      <c r="B863" s="81"/>
      <c r="D863" s="81"/>
      <c r="E863" s="81"/>
    </row>
    <row r="864">
      <c r="A864" s="81"/>
      <c r="B864" s="81"/>
      <c r="D864" s="81"/>
      <c r="E864" s="81"/>
    </row>
    <row r="865">
      <c r="A865" s="81"/>
      <c r="B865" s="81"/>
      <c r="D865" s="81"/>
      <c r="E865" s="81"/>
    </row>
    <row r="866">
      <c r="A866" s="81"/>
      <c r="B866" s="81"/>
      <c r="D866" s="81"/>
      <c r="E866" s="81"/>
    </row>
    <row r="867">
      <c r="A867" s="81"/>
      <c r="B867" s="81"/>
      <c r="D867" s="81"/>
      <c r="E867" s="81"/>
    </row>
    <row r="868">
      <c r="A868" s="81"/>
      <c r="B868" s="81"/>
      <c r="D868" s="81"/>
      <c r="E868" s="81"/>
    </row>
    <row r="869">
      <c r="A869" s="81"/>
      <c r="B869" s="81"/>
      <c r="D869" s="81"/>
      <c r="E869" s="81"/>
    </row>
    <row r="870">
      <c r="A870" s="81"/>
      <c r="B870" s="81"/>
      <c r="D870" s="81"/>
      <c r="E870" s="81"/>
    </row>
    <row r="871">
      <c r="A871" s="81"/>
      <c r="B871" s="81"/>
      <c r="D871" s="81"/>
      <c r="E871" s="81"/>
    </row>
    <row r="872">
      <c r="A872" s="81"/>
      <c r="B872" s="81"/>
      <c r="D872" s="81"/>
      <c r="E872" s="81"/>
    </row>
    <row r="873">
      <c r="A873" s="81"/>
      <c r="B873" s="81"/>
      <c r="D873" s="81"/>
      <c r="E873" s="81"/>
    </row>
    <row r="874">
      <c r="A874" s="81"/>
      <c r="B874" s="81"/>
      <c r="D874" s="81"/>
      <c r="E874" s="81"/>
    </row>
    <row r="875">
      <c r="A875" s="81"/>
      <c r="B875" s="81"/>
      <c r="D875" s="81"/>
      <c r="E875" s="81"/>
    </row>
    <row r="876">
      <c r="A876" s="81"/>
      <c r="B876" s="81"/>
      <c r="D876" s="81"/>
      <c r="E876" s="81"/>
    </row>
    <row r="877">
      <c r="A877" s="81"/>
      <c r="B877" s="81"/>
      <c r="D877" s="81"/>
      <c r="E877" s="81"/>
    </row>
    <row r="878">
      <c r="A878" s="81"/>
      <c r="B878" s="81"/>
      <c r="D878" s="81"/>
      <c r="E878" s="81"/>
    </row>
    <row r="879">
      <c r="A879" s="81"/>
      <c r="B879" s="81"/>
      <c r="D879" s="81"/>
      <c r="E879" s="81"/>
    </row>
    <row r="880">
      <c r="A880" s="81"/>
      <c r="B880" s="81"/>
      <c r="D880" s="81"/>
      <c r="E880" s="81"/>
    </row>
    <row r="881">
      <c r="A881" s="81"/>
      <c r="B881" s="81"/>
      <c r="D881" s="81"/>
      <c r="E881" s="81"/>
    </row>
    <row r="882">
      <c r="A882" s="81"/>
      <c r="B882" s="81"/>
      <c r="D882" s="81"/>
      <c r="E882" s="81"/>
    </row>
    <row r="883">
      <c r="A883" s="81"/>
      <c r="B883" s="81"/>
      <c r="D883" s="81"/>
      <c r="E883" s="81"/>
    </row>
    <row r="884">
      <c r="A884" s="81"/>
      <c r="B884" s="81"/>
      <c r="D884" s="81"/>
      <c r="E884" s="81"/>
    </row>
    <row r="885">
      <c r="A885" s="81"/>
      <c r="B885" s="81"/>
      <c r="D885" s="81"/>
      <c r="E885" s="81"/>
    </row>
    <row r="886">
      <c r="A886" s="81"/>
      <c r="B886" s="81"/>
      <c r="D886" s="81"/>
      <c r="E886" s="81"/>
    </row>
    <row r="887">
      <c r="A887" s="81"/>
      <c r="B887" s="81"/>
      <c r="D887" s="81"/>
      <c r="E887" s="81"/>
    </row>
    <row r="888">
      <c r="A888" s="81"/>
      <c r="B888" s="81"/>
      <c r="D888" s="81"/>
      <c r="E888" s="81"/>
    </row>
    <row r="889">
      <c r="A889" s="81"/>
      <c r="B889" s="81"/>
      <c r="D889" s="81"/>
      <c r="E889" s="81"/>
    </row>
    <row r="890">
      <c r="A890" s="81"/>
      <c r="B890" s="81"/>
      <c r="D890" s="81"/>
      <c r="E890" s="81"/>
    </row>
    <row r="891">
      <c r="A891" s="81"/>
      <c r="B891" s="81"/>
      <c r="D891" s="81"/>
      <c r="E891" s="81"/>
    </row>
    <row r="892">
      <c r="A892" s="81"/>
      <c r="B892" s="81"/>
      <c r="D892" s="81"/>
      <c r="E892" s="81"/>
    </row>
    <row r="893">
      <c r="A893" s="81"/>
      <c r="B893" s="81"/>
      <c r="D893" s="81"/>
      <c r="E893" s="81"/>
    </row>
    <row r="894">
      <c r="A894" s="81"/>
      <c r="B894" s="81"/>
      <c r="D894" s="81"/>
      <c r="E894" s="81"/>
    </row>
    <row r="895">
      <c r="A895" s="81"/>
      <c r="B895" s="81"/>
      <c r="D895" s="81"/>
      <c r="E895" s="81"/>
    </row>
    <row r="896">
      <c r="A896" s="81"/>
      <c r="B896" s="81"/>
      <c r="D896" s="81"/>
      <c r="E896" s="81"/>
    </row>
    <row r="897">
      <c r="A897" s="81"/>
      <c r="B897" s="81"/>
      <c r="D897" s="81"/>
      <c r="E897" s="81"/>
    </row>
    <row r="898">
      <c r="A898" s="81"/>
      <c r="B898" s="81"/>
      <c r="D898" s="81"/>
      <c r="E898" s="81"/>
    </row>
    <row r="899">
      <c r="A899" s="81"/>
      <c r="B899" s="81"/>
      <c r="D899" s="81"/>
      <c r="E899" s="81"/>
    </row>
    <row r="900">
      <c r="A900" s="81"/>
      <c r="B900" s="81"/>
      <c r="D900" s="81"/>
      <c r="E900" s="81"/>
    </row>
    <row r="901">
      <c r="A901" s="81"/>
      <c r="B901" s="81"/>
      <c r="D901" s="81"/>
      <c r="E901" s="81"/>
    </row>
    <row r="902">
      <c r="A902" s="81"/>
      <c r="B902" s="81"/>
      <c r="D902" s="81"/>
      <c r="E902" s="81"/>
    </row>
    <row r="903">
      <c r="A903" s="81"/>
      <c r="B903" s="81"/>
      <c r="D903" s="81"/>
      <c r="E903" s="81"/>
    </row>
    <row r="904">
      <c r="A904" s="81"/>
      <c r="B904" s="81"/>
      <c r="D904" s="81"/>
      <c r="E904" s="81"/>
    </row>
    <row r="905">
      <c r="A905" s="81"/>
      <c r="B905" s="81"/>
      <c r="D905" s="81"/>
      <c r="E905" s="81"/>
    </row>
    <row r="906">
      <c r="A906" s="81"/>
      <c r="B906" s="81"/>
      <c r="D906" s="81"/>
      <c r="E906" s="81"/>
    </row>
    <row r="907">
      <c r="A907" s="81"/>
      <c r="B907" s="81"/>
      <c r="D907" s="81"/>
      <c r="E907" s="81"/>
    </row>
    <row r="908">
      <c r="A908" s="81"/>
      <c r="B908" s="81"/>
      <c r="D908" s="81"/>
      <c r="E908" s="81"/>
    </row>
    <row r="909">
      <c r="A909" s="81"/>
      <c r="B909" s="81"/>
      <c r="D909" s="81"/>
      <c r="E909" s="81"/>
    </row>
    <row r="910">
      <c r="A910" s="81"/>
      <c r="B910" s="81"/>
      <c r="D910" s="81"/>
      <c r="E910" s="81"/>
    </row>
    <row r="911">
      <c r="A911" s="81"/>
      <c r="B911" s="81"/>
      <c r="D911" s="81"/>
      <c r="E911" s="81"/>
    </row>
    <row r="912">
      <c r="A912" s="81"/>
      <c r="B912" s="81"/>
      <c r="D912" s="81"/>
      <c r="E912" s="81"/>
    </row>
    <row r="913">
      <c r="A913" s="81"/>
      <c r="B913" s="81"/>
      <c r="D913" s="81"/>
      <c r="E913" s="81"/>
    </row>
    <row r="914">
      <c r="A914" s="81"/>
      <c r="B914" s="81"/>
      <c r="D914" s="81"/>
      <c r="E914" s="81"/>
    </row>
    <row r="915">
      <c r="A915" s="81"/>
      <c r="B915" s="81"/>
      <c r="D915" s="81"/>
      <c r="E915" s="81"/>
    </row>
    <row r="916">
      <c r="A916" s="81"/>
      <c r="B916" s="81"/>
      <c r="D916" s="81"/>
      <c r="E916" s="81"/>
    </row>
    <row r="917">
      <c r="A917" s="81"/>
      <c r="B917" s="81"/>
      <c r="D917" s="81"/>
      <c r="E917" s="81"/>
    </row>
    <row r="918">
      <c r="A918" s="81"/>
      <c r="B918" s="81"/>
      <c r="D918" s="81"/>
      <c r="E918" s="81"/>
    </row>
    <row r="919">
      <c r="A919" s="81"/>
      <c r="B919" s="81"/>
      <c r="D919" s="81"/>
      <c r="E919" s="81"/>
    </row>
    <row r="920">
      <c r="A920" s="81"/>
      <c r="B920" s="81"/>
      <c r="D920" s="81"/>
      <c r="E920" s="81"/>
    </row>
    <row r="921">
      <c r="A921" s="81"/>
      <c r="B921" s="81"/>
      <c r="D921" s="81"/>
      <c r="E921" s="81"/>
    </row>
    <row r="922">
      <c r="A922" s="81"/>
      <c r="B922" s="81"/>
      <c r="D922" s="81"/>
      <c r="E922" s="81"/>
    </row>
    <row r="923">
      <c r="A923" s="81"/>
      <c r="B923" s="81"/>
      <c r="D923" s="81"/>
      <c r="E923" s="81"/>
    </row>
    <row r="924">
      <c r="A924" s="81"/>
      <c r="B924" s="81"/>
      <c r="D924" s="81"/>
      <c r="E924" s="81"/>
    </row>
    <row r="925">
      <c r="A925" s="81"/>
      <c r="B925" s="81"/>
      <c r="D925" s="81"/>
      <c r="E925" s="81"/>
    </row>
    <row r="926">
      <c r="A926" s="81"/>
      <c r="B926" s="81"/>
      <c r="D926" s="81"/>
      <c r="E926" s="81"/>
    </row>
    <row r="927">
      <c r="A927" s="81"/>
      <c r="B927" s="81"/>
      <c r="D927" s="81"/>
      <c r="E927" s="81"/>
    </row>
    <row r="928">
      <c r="A928" s="81"/>
      <c r="B928" s="81"/>
      <c r="D928" s="81"/>
      <c r="E928" s="81"/>
    </row>
    <row r="929">
      <c r="A929" s="81"/>
      <c r="B929" s="81"/>
      <c r="D929" s="81"/>
      <c r="E929" s="81"/>
    </row>
    <row r="930">
      <c r="A930" s="81"/>
      <c r="B930" s="81"/>
      <c r="D930" s="81"/>
      <c r="E930" s="81"/>
    </row>
    <row r="931">
      <c r="A931" s="81"/>
      <c r="B931" s="81"/>
      <c r="D931" s="81"/>
      <c r="E931" s="81"/>
    </row>
    <row r="932">
      <c r="A932" s="81"/>
      <c r="B932" s="81"/>
      <c r="D932" s="81"/>
      <c r="E932" s="81"/>
    </row>
    <row r="933">
      <c r="A933" s="81"/>
      <c r="B933" s="81"/>
      <c r="D933" s="81"/>
      <c r="E933" s="81"/>
    </row>
    <row r="934">
      <c r="A934" s="81"/>
      <c r="B934" s="81"/>
      <c r="D934" s="81"/>
      <c r="E934" s="81"/>
    </row>
    <row r="935">
      <c r="A935" s="81"/>
      <c r="B935" s="81"/>
      <c r="D935" s="81"/>
      <c r="E935" s="81"/>
    </row>
    <row r="936">
      <c r="A936" s="81"/>
      <c r="B936" s="81"/>
      <c r="D936" s="81"/>
      <c r="E936" s="81"/>
    </row>
    <row r="937">
      <c r="A937" s="81"/>
      <c r="B937" s="81"/>
      <c r="D937" s="81"/>
      <c r="E937" s="81"/>
    </row>
    <row r="938">
      <c r="A938" s="81"/>
      <c r="B938" s="81"/>
      <c r="D938" s="81"/>
      <c r="E938" s="81"/>
    </row>
    <row r="939">
      <c r="A939" s="81"/>
      <c r="B939" s="81"/>
      <c r="D939" s="81"/>
      <c r="E939" s="81"/>
    </row>
    <row r="940">
      <c r="A940" s="81"/>
      <c r="B940" s="81"/>
      <c r="D940" s="81"/>
      <c r="E940" s="81"/>
    </row>
    <row r="941">
      <c r="A941" s="81"/>
      <c r="B941" s="81"/>
      <c r="D941" s="81"/>
      <c r="E941" s="81"/>
    </row>
    <row r="942">
      <c r="A942" s="81"/>
      <c r="B942" s="81"/>
      <c r="D942" s="81"/>
      <c r="E942" s="81"/>
    </row>
    <row r="943">
      <c r="A943" s="81"/>
      <c r="B943" s="81"/>
      <c r="D943" s="81"/>
      <c r="E943" s="81"/>
    </row>
    <row r="944">
      <c r="A944" s="81"/>
      <c r="B944" s="81"/>
      <c r="D944" s="81"/>
      <c r="E944" s="81"/>
    </row>
    <row r="945">
      <c r="A945" s="81"/>
      <c r="B945" s="81"/>
      <c r="D945" s="81"/>
      <c r="E945" s="81"/>
    </row>
    <row r="946">
      <c r="A946" s="81"/>
      <c r="B946" s="81"/>
      <c r="D946" s="81"/>
      <c r="E946" s="81"/>
    </row>
    <row r="947">
      <c r="A947" s="81"/>
      <c r="B947" s="81"/>
      <c r="D947" s="81"/>
      <c r="E947" s="81"/>
    </row>
    <row r="948">
      <c r="A948" s="81"/>
      <c r="B948" s="81"/>
      <c r="D948" s="81"/>
      <c r="E948" s="81"/>
    </row>
    <row r="949">
      <c r="A949" s="81"/>
      <c r="B949" s="81"/>
      <c r="D949" s="81"/>
      <c r="E949" s="81"/>
    </row>
    <row r="950">
      <c r="A950" s="81"/>
      <c r="B950" s="81"/>
      <c r="D950" s="81"/>
      <c r="E950" s="81"/>
    </row>
    <row r="951">
      <c r="A951" s="81"/>
      <c r="B951" s="81"/>
      <c r="D951" s="81"/>
      <c r="E951" s="81"/>
    </row>
    <row r="952">
      <c r="A952" s="81"/>
      <c r="B952" s="81"/>
      <c r="D952" s="81"/>
      <c r="E952" s="81"/>
    </row>
    <row r="953">
      <c r="A953" s="81"/>
      <c r="B953" s="81"/>
      <c r="D953" s="81"/>
      <c r="E953" s="81"/>
    </row>
    <row r="954">
      <c r="A954" s="81"/>
      <c r="B954" s="81"/>
      <c r="D954" s="81"/>
      <c r="E954" s="81"/>
    </row>
    <row r="955">
      <c r="A955" s="81"/>
      <c r="B955" s="81"/>
      <c r="D955" s="81"/>
      <c r="E955" s="81"/>
    </row>
    <row r="956">
      <c r="A956" s="81"/>
      <c r="B956" s="81"/>
      <c r="D956" s="81"/>
      <c r="E956" s="81"/>
    </row>
    <row r="957">
      <c r="A957" s="81"/>
      <c r="B957" s="81"/>
      <c r="D957" s="81"/>
      <c r="E957" s="81"/>
    </row>
    <row r="958">
      <c r="A958" s="81"/>
      <c r="B958" s="81"/>
      <c r="D958" s="81"/>
      <c r="E958" s="81"/>
    </row>
    <row r="959">
      <c r="A959" s="81"/>
      <c r="B959" s="81"/>
      <c r="D959" s="81"/>
      <c r="E959" s="81"/>
    </row>
    <row r="960">
      <c r="A960" s="81"/>
      <c r="B960" s="81"/>
      <c r="D960" s="81"/>
      <c r="E960" s="81"/>
    </row>
    <row r="961">
      <c r="A961" s="81"/>
      <c r="B961" s="81"/>
      <c r="D961" s="81"/>
      <c r="E961" s="81"/>
    </row>
    <row r="962">
      <c r="A962" s="81"/>
      <c r="B962" s="81"/>
      <c r="D962" s="81"/>
      <c r="E962" s="81"/>
    </row>
    <row r="963">
      <c r="A963" s="81"/>
      <c r="B963" s="81"/>
      <c r="D963" s="81"/>
      <c r="E963" s="81"/>
    </row>
    <row r="964">
      <c r="A964" s="81"/>
      <c r="B964" s="81"/>
      <c r="D964" s="81"/>
      <c r="E964" s="81"/>
    </row>
    <row r="965">
      <c r="A965" s="81"/>
      <c r="B965" s="81"/>
      <c r="D965" s="81"/>
      <c r="E965" s="81"/>
    </row>
    <row r="966">
      <c r="A966" s="81"/>
      <c r="B966" s="81"/>
      <c r="D966" s="81"/>
      <c r="E966" s="81"/>
    </row>
    <row r="967">
      <c r="A967" s="81"/>
      <c r="B967" s="81"/>
      <c r="D967" s="81"/>
      <c r="E967" s="81"/>
    </row>
    <row r="968">
      <c r="A968" s="81"/>
      <c r="B968" s="81"/>
      <c r="D968" s="81"/>
      <c r="E968" s="81"/>
    </row>
    <row r="969">
      <c r="A969" s="81"/>
      <c r="B969" s="81"/>
      <c r="D969" s="81"/>
      <c r="E969" s="81"/>
    </row>
    <row r="970">
      <c r="A970" s="81"/>
      <c r="B970" s="81"/>
      <c r="D970" s="81"/>
      <c r="E970" s="81"/>
    </row>
    <row r="971">
      <c r="A971" s="81"/>
      <c r="B971" s="81"/>
      <c r="D971" s="81"/>
      <c r="E971" s="81"/>
    </row>
    <row r="972">
      <c r="A972" s="81"/>
      <c r="B972" s="81"/>
      <c r="D972" s="81"/>
      <c r="E972" s="81"/>
    </row>
    <row r="973">
      <c r="A973" s="81"/>
      <c r="B973" s="81"/>
      <c r="D973" s="81"/>
      <c r="E973" s="81"/>
    </row>
    <row r="974">
      <c r="A974" s="81"/>
      <c r="B974" s="81"/>
      <c r="D974" s="81"/>
      <c r="E974" s="81"/>
    </row>
    <row r="975">
      <c r="A975" s="81"/>
      <c r="B975" s="81"/>
      <c r="D975" s="81"/>
      <c r="E975" s="81"/>
    </row>
    <row r="976">
      <c r="A976" s="81"/>
      <c r="B976" s="81"/>
      <c r="D976" s="81"/>
      <c r="E976" s="81"/>
    </row>
    <row r="977">
      <c r="A977" s="81"/>
      <c r="B977" s="81"/>
      <c r="D977" s="81"/>
      <c r="E977" s="81"/>
    </row>
    <row r="978">
      <c r="A978" s="81"/>
      <c r="B978" s="81"/>
      <c r="D978" s="81"/>
      <c r="E978" s="81"/>
    </row>
    <row r="979">
      <c r="A979" s="81"/>
      <c r="B979" s="81"/>
      <c r="D979" s="81"/>
      <c r="E979" s="81"/>
    </row>
    <row r="980">
      <c r="A980" s="81"/>
      <c r="B980" s="81"/>
      <c r="D980" s="81"/>
      <c r="E980" s="81"/>
    </row>
    <row r="981">
      <c r="A981" s="81"/>
      <c r="B981" s="81"/>
      <c r="D981" s="81"/>
      <c r="E981" s="81"/>
    </row>
    <row r="982">
      <c r="A982" s="81"/>
      <c r="B982" s="81"/>
      <c r="D982" s="81"/>
      <c r="E982" s="81"/>
    </row>
    <row r="983">
      <c r="A983" s="81"/>
      <c r="B983" s="81"/>
      <c r="D983" s="81"/>
      <c r="E983" s="81"/>
    </row>
    <row r="984">
      <c r="A984" s="81"/>
      <c r="B984" s="81"/>
      <c r="D984" s="81"/>
      <c r="E984" s="81"/>
    </row>
    <row r="985">
      <c r="A985" s="81"/>
      <c r="B985" s="81"/>
      <c r="D985" s="81"/>
      <c r="E985" s="81"/>
    </row>
    <row r="986">
      <c r="A986" s="81"/>
      <c r="B986" s="81"/>
      <c r="D986" s="81"/>
      <c r="E986" s="81"/>
    </row>
    <row r="987">
      <c r="A987" s="81"/>
      <c r="B987" s="81"/>
      <c r="D987" s="81"/>
      <c r="E987" s="81"/>
    </row>
    <row r="988">
      <c r="A988" s="81"/>
      <c r="B988" s="81"/>
      <c r="D988" s="81"/>
      <c r="E988" s="81"/>
    </row>
    <row r="989">
      <c r="A989" s="81"/>
      <c r="B989" s="81"/>
      <c r="D989" s="81"/>
      <c r="E989" s="81"/>
    </row>
    <row r="990">
      <c r="A990" s="81"/>
      <c r="B990" s="81"/>
      <c r="D990" s="81"/>
      <c r="E990" s="81"/>
    </row>
    <row r="991">
      <c r="A991" s="81"/>
      <c r="B991" s="81"/>
      <c r="D991" s="81"/>
      <c r="E991" s="81"/>
    </row>
    <row r="992">
      <c r="A992" s="81"/>
      <c r="B992" s="81"/>
      <c r="D992" s="81"/>
      <c r="E992" s="81"/>
    </row>
    <row r="993">
      <c r="A993" s="81"/>
      <c r="B993" s="81"/>
      <c r="D993" s="81"/>
      <c r="E993" s="81"/>
    </row>
    <row r="994">
      <c r="A994" s="81"/>
      <c r="B994" s="81"/>
      <c r="D994" s="81"/>
      <c r="E994" s="81"/>
    </row>
    <row r="995">
      <c r="A995" s="81"/>
      <c r="B995" s="81"/>
      <c r="D995" s="81"/>
      <c r="E995" s="81"/>
    </row>
    <row r="996">
      <c r="A996" s="81"/>
      <c r="B996" s="81"/>
      <c r="D996" s="81"/>
      <c r="E996" s="81"/>
    </row>
    <row r="997">
      <c r="A997" s="81"/>
      <c r="B997" s="81"/>
      <c r="D997" s="81"/>
      <c r="E997" s="81"/>
    </row>
    <row r="998">
      <c r="A998" s="81"/>
      <c r="B998" s="81"/>
      <c r="D998" s="81"/>
      <c r="E998" s="81"/>
    </row>
    <row r="999">
      <c r="A999" s="81"/>
      <c r="B999" s="81"/>
      <c r="D999" s="81"/>
      <c r="E999" s="81"/>
    </row>
    <row r="1000">
      <c r="A1000" s="81"/>
      <c r="B1000" s="81"/>
      <c r="D1000" s="81"/>
      <c r="E1000" s="8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69.63"/>
  </cols>
  <sheetData>
    <row r="1">
      <c r="A1" s="96" t="s">
        <v>167</v>
      </c>
      <c r="B1" s="96" t="s">
        <v>168</v>
      </c>
      <c r="C1" s="96" t="s">
        <v>169</v>
      </c>
      <c r="D1" s="96" t="s">
        <v>170</v>
      </c>
      <c r="E1" s="96" t="s">
        <v>171</v>
      </c>
    </row>
    <row r="2">
      <c r="A2" s="97" t="s">
        <v>172</v>
      </c>
      <c r="B2" s="97" t="s">
        <v>173</v>
      </c>
      <c r="C2" s="98" t="s">
        <v>174</v>
      </c>
      <c r="D2" s="99"/>
      <c r="E2" s="99"/>
    </row>
    <row r="3">
      <c r="A3" s="97" t="s">
        <v>172</v>
      </c>
      <c r="B3" s="97" t="s">
        <v>175</v>
      </c>
      <c r="C3" s="97" t="s">
        <v>174</v>
      </c>
      <c r="D3" s="99"/>
      <c r="E3" s="99"/>
    </row>
    <row r="4">
      <c r="A4" s="97" t="s">
        <v>172</v>
      </c>
      <c r="B4" s="97" t="s">
        <v>176</v>
      </c>
      <c r="C4" s="97" t="s">
        <v>174</v>
      </c>
      <c r="D4" s="99"/>
      <c r="E4" s="99"/>
    </row>
    <row r="5">
      <c r="A5" s="97" t="s">
        <v>172</v>
      </c>
      <c r="B5" s="97" t="s">
        <v>177</v>
      </c>
      <c r="C5" s="97" t="s">
        <v>174</v>
      </c>
      <c r="D5" s="99"/>
      <c r="E5" s="99"/>
    </row>
    <row r="6">
      <c r="A6" s="97" t="s">
        <v>172</v>
      </c>
      <c r="B6" s="97" t="s">
        <v>178</v>
      </c>
      <c r="C6" s="97" t="s">
        <v>174</v>
      </c>
      <c r="D6" s="99"/>
      <c r="E6" s="99"/>
    </row>
    <row r="7">
      <c r="A7" s="97" t="s">
        <v>172</v>
      </c>
      <c r="B7" s="97" t="s">
        <v>179</v>
      </c>
      <c r="C7" s="97" t="s">
        <v>174</v>
      </c>
      <c r="D7" s="99"/>
      <c r="E7" s="99"/>
    </row>
    <row r="8">
      <c r="A8" s="97" t="s">
        <v>172</v>
      </c>
      <c r="B8" s="97" t="s">
        <v>180</v>
      </c>
      <c r="C8" s="97" t="s">
        <v>174</v>
      </c>
      <c r="D8" s="99"/>
      <c r="E8" s="99"/>
    </row>
    <row r="9">
      <c r="A9" s="97" t="s">
        <v>172</v>
      </c>
      <c r="B9" s="97" t="s">
        <v>181</v>
      </c>
      <c r="C9" s="97" t="s">
        <v>174</v>
      </c>
      <c r="D9" s="99"/>
      <c r="E9" s="99"/>
    </row>
    <row r="10">
      <c r="A10" s="97" t="s">
        <v>172</v>
      </c>
      <c r="B10" s="97" t="s">
        <v>182</v>
      </c>
      <c r="C10" s="97" t="s">
        <v>174</v>
      </c>
      <c r="D10" s="99"/>
      <c r="E10" s="99"/>
    </row>
    <row r="11">
      <c r="A11" s="97" t="s">
        <v>172</v>
      </c>
      <c r="B11" s="97" t="s">
        <v>183</v>
      </c>
      <c r="C11" s="97" t="s">
        <v>174</v>
      </c>
      <c r="D11" s="99"/>
      <c r="E11" s="99"/>
    </row>
    <row r="12">
      <c r="A12" s="97" t="s">
        <v>172</v>
      </c>
      <c r="B12" s="97" t="s">
        <v>184</v>
      </c>
      <c r="C12" s="97" t="s">
        <v>174</v>
      </c>
      <c r="D12" s="99"/>
      <c r="E12" s="99"/>
    </row>
    <row r="13">
      <c r="A13" s="97" t="s">
        <v>172</v>
      </c>
      <c r="B13" s="97" t="s">
        <v>185</v>
      </c>
      <c r="C13" s="97" t="s">
        <v>174</v>
      </c>
      <c r="D13" s="99"/>
      <c r="E13" s="99"/>
    </row>
    <row r="14">
      <c r="A14" s="97" t="s">
        <v>186</v>
      </c>
      <c r="B14" s="97" t="s">
        <v>187</v>
      </c>
      <c r="C14" s="97" t="s">
        <v>174</v>
      </c>
      <c r="D14" s="99"/>
      <c r="E14" s="99"/>
    </row>
    <row r="15">
      <c r="A15" s="97" t="s">
        <v>186</v>
      </c>
      <c r="B15" s="97" t="s">
        <v>188</v>
      </c>
      <c r="C15" s="97" t="s">
        <v>174</v>
      </c>
      <c r="D15" s="99"/>
      <c r="E15" s="99"/>
    </row>
    <row r="16">
      <c r="A16" s="97" t="s">
        <v>186</v>
      </c>
      <c r="B16" s="97" t="s">
        <v>189</v>
      </c>
      <c r="C16" s="97" t="s">
        <v>174</v>
      </c>
      <c r="D16" s="99"/>
      <c r="E16" s="99"/>
    </row>
    <row r="17">
      <c r="A17" s="97" t="s">
        <v>186</v>
      </c>
      <c r="B17" s="97" t="s">
        <v>190</v>
      </c>
      <c r="C17" s="97" t="s">
        <v>174</v>
      </c>
      <c r="D17" s="99"/>
      <c r="E17" s="99"/>
    </row>
    <row r="18">
      <c r="A18" s="97" t="s">
        <v>186</v>
      </c>
      <c r="B18" s="97" t="s">
        <v>191</v>
      </c>
      <c r="C18" s="97" t="s">
        <v>174</v>
      </c>
      <c r="D18" s="99"/>
      <c r="E18" s="99"/>
    </row>
    <row r="19">
      <c r="A19" s="97" t="s">
        <v>186</v>
      </c>
      <c r="B19" s="97" t="s">
        <v>192</v>
      </c>
      <c r="C19" s="97" t="s">
        <v>174</v>
      </c>
      <c r="D19" s="99"/>
      <c r="E19" s="99"/>
    </row>
    <row r="20">
      <c r="A20" s="97" t="s">
        <v>186</v>
      </c>
      <c r="B20" s="97" t="s">
        <v>194</v>
      </c>
      <c r="C20" s="97" t="s">
        <v>174</v>
      </c>
      <c r="D20" s="99"/>
      <c r="E20" s="99"/>
    </row>
    <row r="21">
      <c r="A21" s="97" t="s">
        <v>186</v>
      </c>
      <c r="B21" s="97" t="s">
        <v>195</v>
      </c>
      <c r="C21" s="97" t="s">
        <v>174</v>
      </c>
      <c r="D21" s="99"/>
      <c r="E21" s="99"/>
    </row>
    <row r="22">
      <c r="A22" s="97" t="s">
        <v>186</v>
      </c>
      <c r="B22" s="97" t="s">
        <v>196</v>
      </c>
      <c r="C22" s="97" t="s">
        <v>174</v>
      </c>
      <c r="D22" s="99"/>
      <c r="E22" s="99"/>
    </row>
    <row r="23">
      <c r="A23" s="97" t="s">
        <v>186</v>
      </c>
      <c r="B23" s="97" t="s">
        <v>197</v>
      </c>
      <c r="C23" s="97" t="s">
        <v>174</v>
      </c>
      <c r="D23" s="99"/>
      <c r="E23" s="99"/>
    </row>
    <row r="24">
      <c r="A24" s="97" t="s">
        <v>186</v>
      </c>
      <c r="B24" s="97" t="s">
        <v>198</v>
      </c>
      <c r="C24" s="97" t="s">
        <v>174</v>
      </c>
      <c r="D24" s="99"/>
      <c r="E24" s="99"/>
    </row>
    <row r="25">
      <c r="A25" s="97" t="s">
        <v>186</v>
      </c>
      <c r="B25" s="97" t="s">
        <v>199</v>
      </c>
      <c r="C25" s="97" t="s">
        <v>174</v>
      </c>
      <c r="D25" s="99"/>
      <c r="E25" s="99"/>
    </row>
    <row r="26">
      <c r="A26" s="97" t="s">
        <v>200</v>
      </c>
      <c r="B26" s="97" t="s">
        <v>201</v>
      </c>
      <c r="C26" s="97" t="s">
        <v>174</v>
      </c>
      <c r="D26" s="99"/>
      <c r="E26" s="99"/>
    </row>
    <row r="27">
      <c r="A27" s="97" t="s">
        <v>200</v>
      </c>
      <c r="B27" s="97" t="s">
        <v>202</v>
      </c>
      <c r="C27" s="97" t="s">
        <v>174</v>
      </c>
      <c r="D27" s="99"/>
      <c r="E27" s="99"/>
    </row>
    <row r="28">
      <c r="A28" s="97" t="s">
        <v>200</v>
      </c>
      <c r="B28" s="97" t="s">
        <v>203</v>
      </c>
      <c r="C28" s="97" t="s">
        <v>174</v>
      </c>
      <c r="D28" s="99"/>
      <c r="E28" s="99"/>
    </row>
    <row r="29">
      <c r="A29" s="97" t="s">
        <v>200</v>
      </c>
      <c r="B29" s="97" t="s">
        <v>204</v>
      </c>
      <c r="C29" s="97" t="s">
        <v>174</v>
      </c>
      <c r="D29" s="99"/>
      <c r="E29" s="99"/>
    </row>
    <row r="30">
      <c r="A30" s="97" t="s">
        <v>200</v>
      </c>
      <c r="B30" s="97" t="s">
        <v>206</v>
      </c>
      <c r="C30" s="97" t="s">
        <v>174</v>
      </c>
      <c r="D30" s="99"/>
      <c r="E30" s="99"/>
    </row>
    <row r="31">
      <c r="A31" s="97" t="s">
        <v>200</v>
      </c>
      <c r="B31" s="97" t="s">
        <v>207</v>
      </c>
      <c r="C31" s="97" t="s">
        <v>174</v>
      </c>
      <c r="D31" s="99"/>
      <c r="E31" s="99"/>
    </row>
    <row r="32">
      <c r="A32" s="97" t="s">
        <v>200</v>
      </c>
      <c r="B32" s="97" t="s">
        <v>208</v>
      </c>
      <c r="C32" s="97" t="s">
        <v>174</v>
      </c>
      <c r="D32" s="99"/>
      <c r="E32" s="99"/>
    </row>
    <row r="33">
      <c r="A33" s="97" t="s">
        <v>200</v>
      </c>
      <c r="B33" s="97" t="s">
        <v>209</v>
      </c>
      <c r="C33" s="97" t="s">
        <v>174</v>
      </c>
      <c r="D33" s="99"/>
      <c r="E33" s="99"/>
    </row>
    <row r="34">
      <c r="A34" s="97" t="s">
        <v>200</v>
      </c>
      <c r="B34" s="97" t="s">
        <v>210</v>
      </c>
      <c r="C34" s="97" t="s">
        <v>174</v>
      </c>
      <c r="D34" s="99"/>
      <c r="E34" s="99"/>
    </row>
    <row r="35">
      <c r="A35" s="97" t="s">
        <v>200</v>
      </c>
      <c r="B35" s="97" t="s">
        <v>211</v>
      </c>
      <c r="C35" s="97" t="s">
        <v>174</v>
      </c>
      <c r="D35" s="99"/>
      <c r="E35" s="99"/>
    </row>
    <row r="36">
      <c r="A36" s="97" t="s">
        <v>200</v>
      </c>
      <c r="B36" s="97" t="s">
        <v>213</v>
      </c>
      <c r="C36" s="97" t="s">
        <v>174</v>
      </c>
      <c r="D36" s="99"/>
      <c r="E36" s="99"/>
    </row>
    <row r="37">
      <c r="A37" s="97" t="s">
        <v>200</v>
      </c>
      <c r="B37" s="97" t="s">
        <v>214</v>
      </c>
      <c r="C37" s="97" t="s">
        <v>174</v>
      </c>
      <c r="D37" s="99"/>
      <c r="E37" s="99"/>
    </row>
    <row r="38">
      <c r="A38" s="97" t="s">
        <v>215</v>
      </c>
      <c r="B38" s="97" t="s">
        <v>216</v>
      </c>
      <c r="C38" s="97" t="s">
        <v>174</v>
      </c>
      <c r="D38" s="99"/>
      <c r="E38" s="99"/>
    </row>
    <row r="39">
      <c r="A39" s="97" t="s">
        <v>215</v>
      </c>
      <c r="B39" s="97" t="s">
        <v>217</v>
      </c>
      <c r="C39" s="97" t="s">
        <v>174</v>
      </c>
      <c r="D39" s="99"/>
      <c r="E39" s="99"/>
    </row>
    <row r="40">
      <c r="A40" s="97" t="s">
        <v>215</v>
      </c>
      <c r="B40" s="97" t="s">
        <v>218</v>
      </c>
      <c r="C40" s="97" t="s">
        <v>174</v>
      </c>
      <c r="D40" s="99"/>
      <c r="E40" s="99"/>
    </row>
    <row r="41">
      <c r="A41" s="97" t="s">
        <v>215</v>
      </c>
      <c r="B41" s="97" t="s">
        <v>219</v>
      </c>
      <c r="C41" s="97" t="s">
        <v>174</v>
      </c>
      <c r="D41" s="99"/>
      <c r="E41" s="99"/>
    </row>
    <row r="42">
      <c r="A42" s="97" t="s">
        <v>215</v>
      </c>
      <c r="B42" s="97" t="s">
        <v>220</v>
      </c>
      <c r="C42" s="97" t="s">
        <v>174</v>
      </c>
      <c r="D42" s="99"/>
      <c r="E42" s="99"/>
    </row>
    <row r="43">
      <c r="A43" s="97" t="s">
        <v>215</v>
      </c>
      <c r="B43" s="97" t="s">
        <v>221</v>
      </c>
      <c r="C43" s="97" t="s">
        <v>174</v>
      </c>
      <c r="D43" s="99"/>
      <c r="E43" s="99"/>
    </row>
    <row r="44">
      <c r="A44" s="97" t="s">
        <v>215</v>
      </c>
      <c r="B44" s="97" t="s">
        <v>222</v>
      </c>
      <c r="C44" s="97" t="s">
        <v>174</v>
      </c>
      <c r="D44" s="99"/>
      <c r="E44" s="99"/>
    </row>
    <row r="45">
      <c r="A45" s="97" t="s">
        <v>215</v>
      </c>
      <c r="B45" s="97" t="s">
        <v>224</v>
      </c>
      <c r="C45" s="97" t="s">
        <v>174</v>
      </c>
      <c r="D45" s="99"/>
      <c r="E45" s="99"/>
    </row>
    <row r="46">
      <c r="A46" s="97" t="s">
        <v>215</v>
      </c>
      <c r="B46" s="97" t="s">
        <v>225</v>
      </c>
      <c r="C46" s="97" t="s">
        <v>174</v>
      </c>
      <c r="D46" s="99"/>
      <c r="E46" s="99"/>
    </row>
    <row r="47">
      <c r="A47" s="97" t="s">
        <v>215</v>
      </c>
      <c r="B47" s="97" t="s">
        <v>227</v>
      </c>
      <c r="C47" s="97" t="s">
        <v>174</v>
      </c>
      <c r="D47" s="99"/>
      <c r="E47" s="99"/>
    </row>
    <row r="48">
      <c r="A48" s="97" t="s">
        <v>215</v>
      </c>
      <c r="B48" s="97" t="s">
        <v>228</v>
      </c>
      <c r="C48" s="97" t="s">
        <v>174</v>
      </c>
      <c r="D48" s="99"/>
      <c r="E48" s="99"/>
    </row>
    <row r="49">
      <c r="A49" s="97" t="s">
        <v>215</v>
      </c>
      <c r="B49" s="97" t="s">
        <v>229</v>
      </c>
      <c r="C49" s="97" t="s">
        <v>174</v>
      </c>
      <c r="D49" s="99"/>
      <c r="E49" s="99"/>
    </row>
    <row r="50">
      <c r="A50" s="97" t="s">
        <v>230</v>
      </c>
      <c r="B50" s="97" t="s">
        <v>231</v>
      </c>
      <c r="C50" s="97" t="s">
        <v>174</v>
      </c>
      <c r="D50" s="99"/>
      <c r="E50" s="99"/>
    </row>
    <row r="51">
      <c r="A51" s="97" t="s">
        <v>230</v>
      </c>
      <c r="B51" s="97" t="s">
        <v>232</v>
      </c>
      <c r="C51" s="97" t="s">
        <v>174</v>
      </c>
      <c r="D51" s="99"/>
      <c r="E51" s="99"/>
    </row>
    <row r="52">
      <c r="A52" s="97" t="s">
        <v>230</v>
      </c>
      <c r="B52" s="97" t="s">
        <v>233</v>
      </c>
      <c r="C52" s="97" t="s">
        <v>174</v>
      </c>
      <c r="D52" s="99"/>
      <c r="E52" s="99"/>
    </row>
    <row r="53">
      <c r="A53" s="97" t="s">
        <v>230</v>
      </c>
      <c r="B53" s="97" t="s">
        <v>234</v>
      </c>
      <c r="C53" s="97" t="s">
        <v>174</v>
      </c>
      <c r="D53" s="99"/>
      <c r="E53" s="99"/>
    </row>
    <row r="54">
      <c r="A54" s="97" t="s">
        <v>230</v>
      </c>
      <c r="B54" s="97" t="s">
        <v>235</v>
      </c>
      <c r="C54" s="97" t="s">
        <v>174</v>
      </c>
      <c r="D54" s="99"/>
      <c r="E54" s="99"/>
    </row>
    <row r="55">
      <c r="A55" s="97" t="s">
        <v>230</v>
      </c>
      <c r="B55" s="97" t="s">
        <v>236</v>
      </c>
      <c r="C55" s="97" t="s">
        <v>174</v>
      </c>
      <c r="D55" s="99"/>
      <c r="E55" s="99"/>
    </row>
    <row r="56">
      <c r="A56" s="97" t="s">
        <v>230</v>
      </c>
      <c r="B56" s="97" t="s">
        <v>237</v>
      </c>
      <c r="C56" s="97" t="s">
        <v>174</v>
      </c>
      <c r="D56" s="99"/>
      <c r="E56" s="99"/>
    </row>
    <row r="57">
      <c r="A57" s="97" t="s">
        <v>230</v>
      </c>
      <c r="B57" s="97" t="s">
        <v>238</v>
      </c>
      <c r="C57" s="97" t="s">
        <v>174</v>
      </c>
      <c r="D57" s="99"/>
      <c r="E57" s="99"/>
    </row>
    <row r="58">
      <c r="A58" s="97" t="s">
        <v>230</v>
      </c>
      <c r="B58" s="97" t="s">
        <v>239</v>
      </c>
      <c r="C58" s="97" t="s">
        <v>174</v>
      </c>
      <c r="D58" s="99"/>
      <c r="E58" s="99"/>
    </row>
    <row r="59">
      <c r="A59" s="97" t="s">
        <v>230</v>
      </c>
      <c r="B59" s="97" t="s">
        <v>240</v>
      </c>
      <c r="C59" s="97" t="s">
        <v>174</v>
      </c>
      <c r="D59" s="99"/>
      <c r="E59" s="99"/>
    </row>
    <row r="60">
      <c r="A60" s="97" t="s">
        <v>230</v>
      </c>
      <c r="B60" s="97" t="s">
        <v>241</v>
      </c>
      <c r="C60" s="97" t="s">
        <v>174</v>
      </c>
      <c r="D60" s="99"/>
      <c r="E60" s="99"/>
    </row>
    <row r="61">
      <c r="A61" s="97" t="s">
        <v>230</v>
      </c>
      <c r="B61" s="97" t="s">
        <v>242</v>
      </c>
      <c r="C61" s="97" t="s">
        <v>174</v>
      </c>
      <c r="D61" s="99"/>
      <c r="E61" s="99"/>
    </row>
    <row r="62">
      <c r="A62" s="97" t="s">
        <v>243</v>
      </c>
      <c r="B62" s="97" t="s">
        <v>244</v>
      </c>
      <c r="C62" s="97" t="s">
        <v>174</v>
      </c>
      <c r="D62" s="99"/>
      <c r="E62" s="99"/>
    </row>
    <row r="63">
      <c r="A63" s="97" t="s">
        <v>243</v>
      </c>
      <c r="B63" s="97" t="s">
        <v>245</v>
      </c>
      <c r="C63" s="97" t="s">
        <v>174</v>
      </c>
      <c r="D63" s="99"/>
      <c r="E63" s="99"/>
    </row>
    <row r="64">
      <c r="A64" s="97" t="s">
        <v>243</v>
      </c>
      <c r="B64" s="97" t="s">
        <v>246</v>
      </c>
      <c r="C64" s="97" t="s">
        <v>174</v>
      </c>
      <c r="D64" s="99"/>
      <c r="E64" s="99"/>
    </row>
    <row r="65">
      <c r="A65" s="97" t="s">
        <v>243</v>
      </c>
      <c r="B65" s="97" t="s">
        <v>247</v>
      </c>
      <c r="C65" s="97" t="s">
        <v>174</v>
      </c>
      <c r="D65" s="99"/>
      <c r="E65" s="99"/>
    </row>
    <row r="66">
      <c r="A66" s="97" t="s">
        <v>243</v>
      </c>
      <c r="B66" s="97" t="s">
        <v>248</v>
      </c>
      <c r="C66" s="97" t="s">
        <v>174</v>
      </c>
      <c r="D66" s="99"/>
      <c r="E66" s="99"/>
    </row>
    <row r="67">
      <c r="A67" s="97" t="s">
        <v>243</v>
      </c>
      <c r="B67" s="97" t="s">
        <v>249</v>
      </c>
      <c r="C67" s="97" t="s">
        <v>174</v>
      </c>
      <c r="D67" s="99"/>
      <c r="E67" s="99"/>
    </row>
    <row r="68">
      <c r="A68" s="97" t="s">
        <v>243</v>
      </c>
      <c r="B68" s="97" t="s">
        <v>250</v>
      </c>
      <c r="C68" s="97" t="s">
        <v>174</v>
      </c>
      <c r="D68" s="99"/>
      <c r="E68" s="99"/>
    </row>
    <row r="69">
      <c r="A69" s="97" t="s">
        <v>243</v>
      </c>
      <c r="B69" s="97" t="s">
        <v>251</v>
      </c>
      <c r="C69" s="97" t="s">
        <v>174</v>
      </c>
      <c r="D69" s="99"/>
      <c r="E69" s="99"/>
    </row>
    <row r="70">
      <c r="A70" s="97" t="s">
        <v>243</v>
      </c>
      <c r="B70" s="97" t="s">
        <v>252</v>
      </c>
      <c r="C70" s="97" t="s">
        <v>174</v>
      </c>
      <c r="D70" s="99"/>
      <c r="E70" s="99"/>
    </row>
    <row r="71">
      <c r="A71" s="97" t="s">
        <v>243</v>
      </c>
      <c r="B71" s="97" t="s">
        <v>253</v>
      </c>
      <c r="C71" s="97" t="s">
        <v>174</v>
      </c>
      <c r="D71" s="99"/>
      <c r="E71" s="99"/>
    </row>
    <row r="72">
      <c r="A72" s="97" t="s">
        <v>243</v>
      </c>
      <c r="B72" s="97" t="s">
        <v>254</v>
      </c>
      <c r="C72" s="97" t="s">
        <v>174</v>
      </c>
      <c r="D72" s="99"/>
      <c r="E72" s="99"/>
    </row>
    <row r="73">
      <c r="A73" s="97" t="s">
        <v>243</v>
      </c>
      <c r="B73" s="97" t="s">
        <v>255</v>
      </c>
      <c r="C73" s="97" t="s">
        <v>174</v>
      </c>
      <c r="D73" s="99"/>
      <c r="E73" s="99"/>
    </row>
    <row r="74">
      <c r="A74" s="97" t="s">
        <v>256</v>
      </c>
      <c r="B74" s="97" t="s">
        <v>257</v>
      </c>
      <c r="C74" s="97" t="s">
        <v>174</v>
      </c>
      <c r="D74" s="99"/>
      <c r="E74" s="99"/>
    </row>
    <row r="75">
      <c r="A75" s="97" t="s">
        <v>256</v>
      </c>
      <c r="B75" s="97" t="s">
        <v>258</v>
      </c>
      <c r="C75" s="97" t="s">
        <v>174</v>
      </c>
      <c r="D75" s="99"/>
      <c r="E75" s="99"/>
    </row>
    <row r="76">
      <c r="A76" s="97" t="s">
        <v>256</v>
      </c>
      <c r="B76" s="97" t="s">
        <v>259</v>
      </c>
      <c r="C76" s="97" t="s">
        <v>174</v>
      </c>
      <c r="D76" s="99"/>
      <c r="E76" s="99"/>
    </row>
    <row r="77">
      <c r="A77" s="97" t="s">
        <v>256</v>
      </c>
      <c r="B77" s="97" t="s">
        <v>260</v>
      </c>
      <c r="C77" s="97" t="s">
        <v>174</v>
      </c>
      <c r="D77" s="99"/>
      <c r="E77" s="99"/>
    </row>
    <row r="78">
      <c r="A78" s="97" t="s">
        <v>256</v>
      </c>
      <c r="B78" s="97" t="s">
        <v>261</v>
      </c>
      <c r="C78" s="97" t="s">
        <v>174</v>
      </c>
      <c r="D78" s="99"/>
      <c r="E78" s="99"/>
    </row>
    <row r="79">
      <c r="A79" s="97" t="s">
        <v>256</v>
      </c>
      <c r="B79" s="97" t="s">
        <v>262</v>
      </c>
      <c r="C79" s="97" t="s">
        <v>174</v>
      </c>
      <c r="D79" s="99"/>
      <c r="E79" s="99"/>
    </row>
    <row r="80">
      <c r="A80" s="97" t="s">
        <v>256</v>
      </c>
      <c r="B80" s="97" t="s">
        <v>263</v>
      </c>
      <c r="C80" s="97" t="s">
        <v>174</v>
      </c>
      <c r="D80" s="99"/>
      <c r="E80" s="99"/>
    </row>
    <row r="81">
      <c r="A81" s="97" t="s">
        <v>256</v>
      </c>
      <c r="B81" s="97" t="s">
        <v>264</v>
      </c>
      <c r="C81" s="97" t="s">
        <v>174</v>
      </c>
      <c r="D81" s="99"/>
      <c r="E81" s="99"/>
    </row>
    <row r="82">
      <c r="A82" s="97" t="s">
        <v>256</v>
      </c>
      <c r="B82" s="97" t="s">
        <v>265</v>
      </c>
      <c r="C82" s="97" t="s">
        <v>174</v>
      </c>
      <c r="D82" s="99"/>
      <c r="E82" s="99"/>
    </row>
    <row r="83">
      <c r="A83" s="97" t="s">
        <v>256</v>
      </c>
      <c r="B83" s="97" t="s">
        <v>266</v>
      </c>
      <c r="C83" s="97" t="s">
        <v>174</v>
      </c>
      <c r="D83" s="99"/>
      <c r="E83" s="99"/>
    </row>
    <row r="84">
      <c r="A84" s="97" t="s">
        <v>256</v>
      </c>
      <c r="B84" s="97" t="s">
        <v>267</v>
      </c>
      <c r="C84" s="97" t="s">
        <v>174</v>
      </c>
      <c r="D84" s="99"/>
      <c r="E84" s="99"/>
    </row>
    <row r="85">
      <c r="A85" s="97" t="s">
        <v>256</v>
      </c>
      <c r="B85" s="97" t="s">
        <v>268</v>
      </c>
      <c r="C85" s="97" t="s">
        <v>174</v>
      </c>
      <c r="D85" s="99"/>
      <c r="E85" s="9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